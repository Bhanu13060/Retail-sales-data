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2045b891022adf/Desktop/retail.z/RETALEDGE/"/>
    </mc:Choice>
  </mc:AlternateContent>
  <xr:revisionPtr revIDLastSave="0" documentId="8_{3E10DA50-4B11-49E3-B1CE-281514569774}" xr6:coauthVersionLast="47" xr6:coauthVersionMax="47" xr10:uidLastSave="{00000000-0000-0000-0000-000000000000}"/>
  <bookViews>
    <workbookView xWindow="-108" yWindow="-108" windowWidth="23256" windowHeight="13176" xr2:uid="{718889DC-D0AF-49B8-91D3-B1D4762A413F}"/>
  </bookViews>
  <sheets>
    <sheet name="Pivot_Analysis" sheetId="4" r:id="rId1"/>
    <sheet name="Dashboard" sheetId="3" r:id="rId2"/>
    <sheet name="Product_Catalog" sheetId="2" r:id="rId3"/>
    <sheet name="Data_Clean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3"/>
  <c r="D4" i="3"/>
  <c r="C4" i="3"/>
  <c r="B4" i="3"/>
  <c r="M36" i="1"/>
  <c r="L36" i="1"/>
  <c r="K36" i="1"/>
  <c r="J36" i="1"/>
  <c r="I36" i="1"/>
  <c r="H36" i="1"/>
  <c r="D36" i="1"/>
  <c r="M35" i="1"/>
  <c r="L35" i="1"/>
  <c r="K35" i="1"/>
  <c r="J35" i="1"/>
  <c r="I35" i="1"/>
  <c r="H35" i="1"/>
  <c r="D35" i="1"/>
  <c r="M34" i="1"/>
  <c r="L34" i="1"/>
  <c r="K34" i="1"/>
  <c r="J34" i="1"/>
  <c r="I34" i="1"/>
  <c r="H34" i="1"/>
  <c r="D34" i="1"/>
  <c r="M33" i="1"/>
  <c r="L33" i="1"/>
  <c r="K33" i="1"/>
  <c r="J33" i="1"/>
  <c r="I33" i="1"/>
  <c r="H33" i="1"/>
  <c r="D33" i="1"/>
  <c r="M32" i="1"/>
  <c r="L32" i="1"/>
  <c r="K32" i="1"/>
  <c r="J32" i="1"/>
  <c r="I32" i="1"/>
  <c r="H32" i="1"/>
  <c r="D32" i="1"/>
  <c r="M31" i="1"/>
  <c r="L31" i="1"/>
  <c r="K31" i="1"/>
  <c r="J31" i="1"/>
  <c r="I31" i="1"/>
  <c r="H31" i="1"/>
  <c r="D31" i="1"/>
  <c r="M30" i="1"/>
  <c r="L30" i="1"/>
  <c r="K30" i="1"/>
  <c r="J30" i="1"/>
  <c r="I30" i="1"/>
  <c r="H30" i="1"/>
  <c r="D30" i="1"/>
  <c r="M29" i="1"/>
  <c r="L29" i="1"/>
  <c r="K29" i="1"/>
  <c r="J29" i="1"/>
  <c r="I29" i="1"/>
  <c r="H29" i="1"/>
  <c r="D29" i="1"/>
  <c r="M28" i="1"/>
  <c r="L28" i="1"/>
  <c r="K28" i="1"/>
  <c r="J28" i="1"/>
  <c r="I28" i="1"/>
  <c r="H28" i="1"/>
  <c r="D28" i="1"/>
  <c r="M27" i="1"/>
  <c r="L27" i="1"/>
  <c r="K27" i="1"/>
  <c r="J27" i="1"/>
  <c r="I27" i="1"/>
  <c r="H27" i="1"/>
  <c r="D27" i="1"/>
  <c r="M26" i="1"/>
  <c r="L26" i="1"/>
  <c r="K26" i="1"/>
  <c r="J26" i="1"/>
  <c r="I26" i="1"/>
  <c r="H26" i="1"/>
  <c r="D26" i="1"/>
  <c r="M25" i="1"/>
  <c r="L25" i="1"/>
  <c r="K25" i="1"/>
  <c r="J25" i="1"/>
  <c r="I25" i="1"/>
  <c r="H25" i="1"/>
  <c r="D25" i="1"/>
  <c r="M24" i="1"/>
  <c r="L24" i="1"/>
  <c r="K24" i="1"/>
  <c r="J24" i="1"/>
  <c r="I24" i="1"/>
  <c r="H24" i="1"/>
  <c r="D24" i="1"/>
  <c r="M23" i="1"/>
  <c r="L23" i="1"/>
  <c r="K23" i="1"/>
  <c r="J23" i="1"/>
  <c r="I23" i="1"/>
  <c r="H23" i="1"/>
  <c r="D23" i="1"/>
  <c r="M22" i="1"/>
  <c r="L22" i="1"/>
  <c r="K22" i="1"/>
  <c r="J22" i="1"/>
  <c r="I22" i="1"/>
  <c r="H22" i="1"/>
  <c r="D22" i="1"/>
  <c r="M21" i="1"/>
  <c r="L21" i="1"/>
  <c r="K21" i="1"/>
  <c r="J21" i="1"/>
  <c r="I21" i="1"/>
  <c r="H21" i="1"/>
  <c r="D21" i="1"/>
  <c r="M20" i="1"/>
  <c r="L20" i="1"/>
  <c r="K20" i="1"/>
  <c r="J20" i="1"/>
  <c r="I20" i="1"/>
  <c r="H20" i="1"/>
  <c r="D20" i="1"/>
  <c r="M19" i="1"/>
  <c r="L19" i="1"/>
  <c r="K19" i="1"/>
  <c r="J19" i="1"/>
  <c r="I19" i="1"/>
  <c r="H19" i="1"/>
  <c r="D19" i="1"/>
  <c r="M18" i="1"/>
  <c r="L18" i="1"/>
  <c r="K18" i="1"/>
  <c r="J18" i="1"/>
  <c r="I18" i="1"/>
  <c r="H18" i="1"/>
  <c r="D18" i="1"/>
  <c r="M17" i="1"/>
  <c r="L17" i="1"/>
  <c r="K17" i="1"/>
  <c r="J17" i="1"/>
  <c r="I17" i="1"/>
  <c r="H17" i="1"/>
  <c r="D17" i="1"/>
  <c r="M16" i="1"/>
  <c r="L16" i="1"/>
  <c r="K16" i="1"/>
  <c r="J16" i="1"/>
  <c r="I16" i="1"/>
  <c r="H16" i="1"/>
  <c r="D16" i="1"/>
  <c r="M15" i="1"/>
  <c r="L15" i="1"/>
  <c r="K15" i="1"/>
  <c r="J15" i="1"/>
  <c r="I15" i="1"/>
  <c r="H15" i="1"/>
  <c r="D15" i="1"/>
  <c r="M14" i="1"/>
  <c r="L14" i="1"/>
  <c r="K14" i="1"/>
  <c r="J14" i="1"/>
  <c r="I14" i="1"/>
  <c r="H14" i="1"/>
  <c r="D14" i="1"/>
  <c r="M13" i="1"/>
  <c r="L13" i="1"/>
  <c r="K13" i="1"/>
  <c r="J13" i="1"/>
  <c r="I13" i="1"/>
  <c r="H13" i="1"/>
  <c r="D13" i="1"/>
  <c r="M12" i="1"/>
  <c r="L12" i="1"/>
  <c r="K12" i="1"/>
  <c r="J12" i="1"/>
  <c r="I12" i="1"/>
  <c r="H12" i="1"/>
  <c r="D12" i="1"/>
  <c r="M11" i="1"/>
  <c r="L11" i="1"/>
  <c r="K11" i="1"/>
  <c r="J11" i="1"/>
  <c r="I11" i="1"/>
  <c r="H11" i="1"/>
  <c r="D11" i="1"/>
  <c r="M10" i="1"/>
  <c r="L10" i="1"/>
  <c r="K10" i="1"/>
  <c r="J10" i="1"/>
  <c r="I10" i="1"/>
  <c r="H10" i="1"/>
  <c r="D10" i="1"/>
  <c r="M9" i="1"/>
  <c r="L9" i="1"/>
  <c r="K9" i="1"/>
  <c r="J9" i="1"/>
  <c r="I9" i="1"/>
  <c r="H9" i="1"/>
  <c r="D9" i="1"/>
  <c r="M8" i="1"/>
  <c r="L8" i="1"/>
  <c r="K8" i="1"/>
  <c r="J8" i="1"/>
  <c r="I8" i="1"/>
  <c r="H8" i="1"/>
  <c r="D8" i="1"/>
  <c r="M7" i="1"/>
  <c r="L7" i="1"/>
  <c r="K7" i="1"/>
  <c r="J7" i="1"/>
  <c r="I7" i="1"/>
  <c r="H7" i="1"/>
  <c r="D7" i="1"/>
  <c r="M6" i="1"/>
  <c r="L6" i="1"/>
  <c r="K6" i="1"/>
  <c r="J6" i="1"/>
  <c r="I6" i="1"/>
  <c r="H6" i="1"/>
  <c r="D6" i="1"/>
  <c r="M5" i="1"/>
  <c r="L5" i="1"/>
  <c r="K5" i="1"/>
  <c r="J5" i="1"/>
  <c r="I5" i="1"/>
  <c r="H5" i="1"/>
  <c r="D5" i="1"/>
  <c r="M4" i="1"/>
  <c r="L4" i="1"/>
  <c r="K4" i="1"/>
  <c r="J4" i="1"/>
  <c r="I4" i="1"/>
  <c r="H4" i="1"/>
  <c r="D4" i="1"/>
  <c r="M3" i="1"/>
  <c r="L3" i="1"/>
  <c r="K3" i="1"/>
  <c r="J3" i="1"/>
  <c r="I3" i="1"/>
  <c r="H3" i="1"/>
  <c r="D3" i="1"/>
  <c r="M2" i="1"/>
  <c r="L2" i="1"/>
  <c r="K2" i="1"/>
  <c r="J2" i="1"/>
  <c r="I2" i="1"/>
  <c r="H2" i="1"/>
  <c r="D2" i="1"/>
</calcChain>
</file>

<file path=xl/sharedStrings.xml><?xml version="1.0" encoding="utf-8"?>
<sst xmlns="http://schemas.openxmlformats.org/spreadsheetml/2006/main" count="210" uniqueCount="99">
  <si>
    <t>Product ID</t>
  </si>
  <si>
    <t>Product Name</t>
  </si>
  <si>
    <t>Category</t>
  </si>
  <si>
    <t>Unit Price</t>
  </si>
  <si>
    <t>P101</t>
  </si>
  <si>
    <t>Lumina Desk Lamp</t>
  </si>
  <si>
    <t>Lighting</t>
  </si>
  <si>
    <t>P102</t>
  </si>
  <si>
    <t>UltraWide Monitor</t>
  </si>
  <si>
    <t>Electronics</t>
  </si>
  <si>
    <t>P103</t>
  </si>
  <si>
    <t>Wireless Keyboard</t>
  </si>
  <si>
    <t>P104</t>
  </si>
  <si>
    <t>Apex Ergonomic Chair</t>
  </si>
  <si>
    <t>Furniture</t>
  </si>
  <si>
    <t>P105</t>
  </si>
  <si>
    <t>Standing Desk Pro</t>
  </si>
  <si>
    <t>Order ID</t>
  </si>
  <si>
    <t>Date</t>
  </si>
  <si>
    <t>Raw Region</t>
  </si>
  <si>
    <t>Clean Region</t>
  </si>
  <si>
    <t>Units</t>
  </si>
  <si>
    <t>Customer Segment</t>
  </si>
  <si>
    <t>Revenue</t>
  </si>
  <si>
    <t>Month</t>
  </si>
  <si>
    <t>Order Tier</t>
  </si>
  <si>
    <t>ORD-001</t>
  </si>
  <si>
    <t xml:space="preserve">  north  </t>
  </si>
  <si>
    <t>Corporate</t>
  </si>
  <si>
    <t>ORD-002</t>
  </si>
  <si>
    <t>ORD-003</t>
  </si>
  <si>
    <t xml:space="preserve">  south  </t>
  </si>
  <si>
    <t>ORD-004</t>
  </si>
  <si>
    <t xml:space="preserve">  east  </t>
  </si>
  <si>
    <t>ORD-005</t>
  </si>
  <si>
    <t xml:space="preserve">  west  </t>
  </si>
  <si>
    <t>ORD-006</t>
  </si>
  <si>
    <t>Consumer</t>
  </si>
  <si>
    <t>ORD-007</t>
  </si>
  <si>
    <t>Small Business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</si>
  <si>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</si>
  <si>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</si>
  <si>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</si>
  <si>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</si>
  <si>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</si>
  <si>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</si>
  <si>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</si>
  <si>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</si>
  <si>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</si>
  <si>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</si>
  <si>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</si>
  <si>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</si>
  <si>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</si>
  <si>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</si>
  <si>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</si>
  <si>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</si>
  <si>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</si>
  <si>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</si>
  <si>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</si>
  <si>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</si>
  <si>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</si>
  <si>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</si>
  <si>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</si>
  <si>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</si>
  <si>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</si>
  <si>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</si>
  <si>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</si>
  <si>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</si>
  <si>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Row Labels</t>
  </si>
  <si>
    <t>East</t>
  </si>
  <si>
    <t>North</t>
  </si>
  <si>
    <t>South</t>
  </si>
  <si>
    <t>West</t>
  </si>
  <si>
    <t>Grand Total</t>
  </si>
  <si>
    <t>Sum of Revenue</t>
  </si>
  <si>
    <t>Total Revenue</t>
  </si>
  <si>
    <t>% of Grand Total</t>
  </si>
  <si>
    <t>Jan</t>
  </si>
  <si>
    <t>Feb</t>
  </si>
  <si>
    <t>Mar</t>
  </si>
  <si>
    <t>Apr</t>
  </si>
  <si>
    <t>May</t>
  </si>
  <si>
    <t>Jun</t>
  </si>
  <si>
    <t>Sum of Revenue 2</t>
  </si>
  <si>
    <t>HEADLINE PERFORMANCE KPIs</t>
  </si>
  <si>
    <t>TOTAL REVENUE</t>
  </si>
  <si>
    <t>AVG ORDER VALUE</t>
  </si>
  <si>
    <t>TOTAL ORDERS</t>
  </si>
  <si>
    <t>LARGEST ORDER</t>
  </si>
  <si>
    <t>SMALLEST ORDER</t>
  </si>
  <si>
    <t>📊 Executive Findings &amp; Strategic Recommendations</t>
  </si>
  <si>
    <t>Key Insights</t>
  </si>
  <si>
    <t>Dominant Territory: The North Region generated the highest total revenue ($52,150, ~32.5% of total sales), driven heavily by high-margin corporate workstation upgrades (Standing Desk Pro and Apex Ergonomic Chair).</t>
  </si>
  <si>
    <t>Primary Revenue Driver: Furniture is our highest-earning category (over 50% of overall revenue), whereas Lighting accounts for high unit volume (e.g., Lumina Desk Lamps) but small overall revenue contribution.</t>
  </si>
  <si>
    <t>Mid-Year Surge: Sales peaked dramatically in June 2026 ($72,880), representing nearly 45% of total 6-month revenue due to corporate mid-year budget allocations and end-of-quarter volume buying.</t>
  </si>
  <si>
    <t>Recommendations</t>
  </si>
  <si>
    <t>Upsell Low-Performing Regions: The South region yielded the lowest revenue ($20,280). Introduce product bundling (e.g., pair a Lumina Desk Lamp with an UltraWide Monitor) at a slight discount to increase South Region Average Order Value.</t>
  </si>
  <si>
    <t>Corporate Sales Focus: Order values &gt;= $5,000 came almost exclusively from the Corporate segment. Assign dedicated key-account managers to corporate clients to lock in repeat workstation orders before Q4.</t>
  </si>
  <si>
    <t>Inventory Management: Increase stock reserves for P105 Standing Desk Pro starting in May to avoid fulfillment delays during the June demand peak.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</si>
</sst>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ont>
        <color rgb="FF008000"/>
      </font>
      <fill>
        <patternFill>
          <bgColor rgb="FFC6EFCE"/>
        </patternFill>
      </fill>
    </dxf>
    <dxf>
      <numFmt numFmtId="165" formatCode="\$#,##0.00"/>
    </dxf>
    <dxf>
      <numFmt numFmtId="165" formatCode="\$#,##0.00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[RetailEdge_Sales_Report.xlsx]Pivot_Analysis!RegionalRevenue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Revenue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\$#,##0.00</c:formatCode>
                <c:ptCount val="4"/>
                <c:pt idx="0">
                  <c:v>54045</c:v>
                </c:pt>
                <c:pt idx="1">
                  <c:v>52150</c:v>
                </c:pt>
                <c:pt idx="2">
                  <c:v>20280</c:v>
                </c:pt>
                <c:pt idx="3">
                  <c:v>33725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8-4767-A61E-6DB3D5C5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35568"/>
        <c:axId val="872333648"/>
      </c:barChart>
      <c:catAx>
        <c:axId val="8723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33648"/>
        <c:crosses val="autoZero"/>
        <c:auto val="1"/>
        <c:lblAlgn val="ctr"/>
        <c:lblOffset val="100"/>
        <c:noMultiLvlLbl val="0"/>
      </c:catAx>
      <c:valAx>
        <c:axId val="8723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[RetailEdge_Sales_Report.xlsx]Pivot_Analysis!MonthlyTrend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Pivot_Analysis!$A$41:$A$47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Pivot_Analysis!$B$41:$B$47</c:f>
              <c:numCache>
                <c:formatCode>\$#,##0.00</c:formatCode>
                <c:ptCount val="6"/>
                <c:pt idx="0">
                  <c:v>8395</c:v>
                </c:pt>
                <c:pt idx="1">
                  <c:v>6300</c:v>
                </c:pt>
                <c:pt idx="2">
                  <c:v>12280</c:v>
                </c:pt>
                <c:pt idx="3">
                  <c:v>29545</c:v>
                </c:pt>
                <c:pt idx="4">
                  <c:v>30800</c:v>
                </c:pt>
                <c:pt idx="5">
                  <c:v>72880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5-4873-A594-ABEFD10A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556816"/>
        <c:axId val="873557296"/>
      </c:lineChart>
      <c:catAx>
        <c:axId val="8735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57296"/>
        <c:crosses val="autoZero"/>
        <c:auto val="1"/>
        <c:lblAlgn val="ctr"/>
        <c:lblOffset val="100"/>
        <c:noMultiLvlLbl val="0"/>
      </c:catAx>
      <c:valAx>
        <c:axId val="8735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55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6</xdr:row>
      <xdr:rowOff>172720</xdr:rowOff>
    </xdr:from>
    <xdr:to>
      <xdr:col>8</xdr:col>
      <xdr:colOff>541020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491B6-748C-D5F9-B62B-6A61D3BD9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566420</xdr:colOff>
      <xdr:row>6</xdr:row>
      <xdr:rowOff>172720</xdr:rowOff>
    </xdr:from>
    <xdr:to>
      <xdr:col>17</xdr:col>
      <xdr:colOff>134620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253A95-E581-B169-CE41-5EA9E63D9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nu venkat" refreshedDate="46231.833857060185" createdVersion="8" refreshedVersion="8" minRefreshableVersion="3" recordCount="35" xr:uid="{A23597DA-7130-41BB-A941-1C1AFEF8CE46}">
  <cacheSource type="worksheet">
    <worksheetSource ref="A1:M36" sheet="Data_Clean"/>
  </cacheSource>
  <cacheFields count="13">
    <cacheField name="Order ID" numFmtId="0">
      <sharedItems/>
    </cacheField>
    <cacheField name="Date" numFmtId="164">
      <sharedItems containsSemiMixedTypes="0" containsNonDate="0" containsDate="1" containsString="0" minDate="2026-01-04T00:00:00" maxDate="2026-06-27T00:00:00"/>
    </cacheField>
    <cacheField name="Raw Region" numFmtId="0">
      <sharedItems/>
    </cacheField>
    <cacheField name="Clean Region" numFmtId="0">
      <sharedItems count="4">
        <s v="North"/>
        <s v="South"/>
        <s v="East"/>
        <s v="West"/>
      </sharedItems>
    </cacheField>
    <cacheField name="Product ID" numFmtId="0">
      <sharedItems/>
    </cacheField>
    <cacheField name="Units" numFmtId="0">
      <sharedItems containsSemiMixedTypes="0" containsString="0" containsNumber="1" containsInteger="1" minValue="1" maxValue="27"/>
    </cacheField>
    <cacheField name="Customer Segment" numFmtId="0">
      <sharedItems/>
    </cacheField>
    <cacheField name="Product Name" numFmtId="0">
      <sharedItems/>
    </cacheField>
    <cacheField name="Category" numFmtId="0">
      <sharedItems count="3">
        <s v="Furniture"/>
        <s v="Electronics"/>
        <s v="Lighting"/>
      </sharedItems>
    </cacheField>
    <cacheField name="Unit Price" numFmtId="165">
      <sharedItems containsSemiMixedTypes="0" containsString="0" containsNumber="1" containsInteger="1" minValue="45" maxValue="900"/>
    </cacheField>
    <cacheField name="Revenue" numFmtId="165">
      <sharedItems containsSemiMixedTypes="0" containsString="0" containsNumber="1" containsInteger="1" minValue="45" maxValue="24300"/>
    </cacheField>
    <cacheField name="Month" numFmtId="0">
      <sharedItems count="6">
        <s v="Jun"/>
        <s v="May"/>
        <s v="Apr"/>
        <s v="Mar"/>
        <s v="Feb"/>
        <s v="Jan"/>
      </sharedItems>
    </cacheField>
    <cacheField name="Order 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ORD-001"/>
    <d v="2026-06-04T00:00:00"/>
    <s v="  north  "/>
    <x v="0"/>
    <s v="P105"/>
    <n v="13"/>
    <s v="Corporate"/>
    <s v="Standing Desk Pro"/>
    <x v="0"/>
    <n v="900"/>
    <n v="11700"/>
    <x v="0"/>
    <s v="High Value"/>
  </r>
  <r>
    <s v="ORD-002"/>
    <d v="2026-06-25T00:00:00"/>
    <s v="  north  "/>
    <x v="0"/>
    <s v="P105"/>
    <n v="10"/>
    <s v="Corporate"/>
    <s v="Standing Desk Pro"/>
    <x v="0"/>
    <n v="900"/>
    <n v="9000"/>
    <x v="0"/>
    <s v="High Value"/>
  </r>
  <r>
    <s v="ORD-003"/>
    <d v="2026-06-09T00:00:00"/>
    <s v="  south  "/>
    <x v="1"/>
    <s v="P105"/>
    <n v="10"/>
    <s v="Corporate"/>
    <s v="Standing Desk Pro"/>
    <x v="0"/>
    <n v="900"/>
    <n v="9000"/>
    <x v="0"/>
    <s v="High Value"/>
  </r>
  <r>
    <s v="ORD-004"/>
    <d v="2026-06-23T00:00:00"/>
    <s v="  east  "/>
    <x v="2"/>
    <s v="P105"/>
    <n v="20"/>
    <s v="Corporate"/>
    <s v="Standing Desk Pro"/>
    <x v="0"/>
    <n v="900"/>
    <n v="18000"/>
    <x v="0"/>
    <s v="High Value"/>
  </r>
  <r>
    <s v="ORD-005"/>
    <d v="2026-06-26T00:00:00"/>
    <s v="  west  "/>
    <x v="3"/>
    <s v="P105"/>
    <n v="27"/>
    <s v="Corporate"/>
    <s v="Standing Desk Pro"/>
    <x v="0"/>
    <n v="900"/>
    <n v="24300"/>
    <x v="0"/>
    <s v="High Value"/>
  </r>
  <r>
    <s v="ORD-006"/>
    <d v="2026-06-22T00:00:00"/>
    <s v="  west  "/>
    <x v="3"/>
    <s v="P102"/>
    <n v="2"/>
    <s v="Consumer"/>
    <s v="UltraWide Monitor"/>
    <x v="1"/>
    <n v="350"/>
    <n v="700"/>
    <x v="0"/>
    <s v="Standard"/>
  </r>
  <r>
    <s v="ORD-007"/>
    <d v="2026-06-24T00:00:00"/>
    <s v="  west  "/>
    <x v="3"/>
    <s v="P101"/>
    <n v="4"/>
    <s v="Small Business"/>
    <s v="Lumina Desk Lamp"/>
    <x v="2"/>
    <n v="45"/>
    <n v="180"/>
    <x v="0"/>
    <s v="Standard"/>
  </r>
  <r>
    <s v="ORD-008"/>
    <d v="2026-05-11T00:00:00"/>
    <s v="  north  "/>
    <x v="0"/>
    <s v="P105"/>
    <n v="10"/>
    <s v="Corporate"/>
    <s v="Standing Desk Pro"/>
    <x v="0"/>
    <n v="900"/>
    <n v="9000"/>
    <x v="1"/>
    <s v="High Value"/>
  </r>
  <r>
    <s v="ORD-009"/>
    <d v="2026-04-23T00:00:00"/>
    <s v="  north  "/>
    <x v="0"/>
    <s v="P105"/>
    <n v="10"/>
    <s v="Corporate"/>
    <s v="Standing Desk Pro"/>
    <x v="0"/>
    <n v="900"/>
    <n v="9000"/>
    <x v="2"/>
    <s v="High Value"/>
  </r>
  <r>
    <s v="ORD-010"/>
    <d v="2026-03-19T00:00:00"/>
    <s v="  north  "/>
    <x v="0"/>
    <s v="P105"/>
    <n v="10"/>
    <s v="Corporate"/>
    <s v="Standing Desk Pro"/>
    <x v="0"/>
    <n v="900"/>
    <n v="9000"/>
    <x v="3"/>
    <s v="High Value"/>
  </r>
  <r>
    <s v="ORD-011"/>
    <d v="2026-02-15T00:00:00"/>
    <s v="  north  "/>
    <x v="0"/>
    <s v="P105"/>
    <n v="3"/>
    <s v="Corporate"/>
    <s v="Standing Desk Pro"/>
    <x v="0"/>
    <n v="900"/>
    <n v="2700"/>
    <x v="4"/>
    <s v="Standard"/>
  </r>
  <r>
    <s v="ORD-012"/>
    <d v="2026-01-12T00:00:00"/>
    <s v="  north  "/>
    <x v="0"/>
    <s v="P102"/>
    <n v="5"/>
    <s v="Small Business"/>
    <s v="UltraWide Monitor"/>
    <x v="1"/>
    <n v="350"/>
    <n v="1750"/>
    <x v="5"/>
    <s v="Standard"/>
  </r>
  <r>
    <s v="ORD-013"/>
    <d v="2026-05-17T00:00:00"/>
    <s v="  south  "/>
    <x v="1"/>
    <s v="P105"/>
    <n v="10"/>
    <s v="Corporate"/>
    <s v="Standing Desk Pro"/>
    <x v="0"/>
    <n v="900"/>
    <n v="9000"/>
    <x v="1"/>
    <s v="High Value"/>
  </r>
  <r>
    <s v="ORD-014"/>
    <d v="2026-04-18T00:00:00"/>
    <s v="  south  "/>
    <x v="1"/>
    <s v="P104"/>
    <n v="6"/>
    <s v="Consumer"/>
    <s v="Apex Ergonomic Chair"/>
    <x v="0"/>
    <n v="250"/>
    <n v="1500"/>
    <x v="2"/>
    <s v="Standard"/>
  </r>
  <r>
    <s v="ORD-015"/>
    <d v="2026-03-09T00:00:00"/>
    <s v="  south  "/>
    <x v="1"/>
    <s v="P103"/>
    <n v="13"/>
    <s v="Consumer"/>
    <s v="Wireless Keyboard"/>
    <x v="1"/>
    <n v="60"/>
    <n v="780"/>
    <x v="3"/>
    <s v="Standard"/>
  </r>
  <r>
    <s v="ORD-016"/>
    <d v="2026-04-26T00:00:00"/>
    <s v="  east  "/>
    <x v="2"/>
    <s v="P105"/>
    <n v="4"/>
    <s v="Corporate"/>
    <s v="Standing Desk Pro"/>
    <x v="0"/>
    <n v="900"/>
    <n v="3600"/>
    <x v="2"/>
    <s v="Standard"/>
  </r>
  <r>
    <s v="ORD-017"/>
    <d v="2026-04-27T00:00:00"/>
    <s v="  east  "/>
    <x v="2"/>
    <s v="P105"/>
    <n v="4"/>
    <s v="Corporate"/>
    <s v="Standing Desk Pro"/>
    <x v="0"/>
    <n v="900"/>
    <n v="3600"/>
    <x v="2"/>
    <s v="Standard"/>
  </r>
  <r>
    <s v="ORD-018"/>
    <d v="2026-04-22T00:00:00"/>
    <s v="  east  "/>
    <x v="2"/>
    <s v="P105"/>
    <n v="4"/>
    <s v="Corporate"/>
    <s v="Standing Desk Pro"/>
    <x v="0"/>
    <n v="900"/>
    <n v="3600"/>
    <x v="2"/>
    <s v="Standard"/>
  </r>
  <r>
    <s v="ORD-019"/>
    <d v="2026-05-22T00:00:00"/>
    <s v="  east  "/>
    <x v="2"/>
    <s v="P105"/>
    <n v="4"/>
    <s v="Corporate"/>
    <s v="Standing Desk Pro"/>
    <x v="0"/>
    <n v="900"/>
    <n v="3600"/>
    <x v="1"/>
    <s v="Standard"/>
  </r>
  <r>
    <s v="ORD-020"/>
    <d v="2026-05-27T00:00:00"/>
    <s v="  east  "/>
    <x v="2"/>
    <s v="P105"/>
    <n v="4"/>
    <s v="Corporate"/>
    <s v="Standing Desk Pro"/>
    <x v="0"/>
    <n v="900"/>
    <n v="3600"/>
    <x v="1"/>
    <s v="Standard"/>
  </r>
  <r>
    <s v="ORD-021"/>
    <d v="2026-05-23T00:00:00"/>
    <s v="  east  "/>
    <x v="2"/>
    <s v="P105"/>
    <n v="4"/>
    <s v="Corporate"/>
    <s v="Standing Desk Pro"/>
    <x v="0"/>
    <n v="900"/>
    <n v="3600"/>
    <x v="1"/>
    <s v="Standard"/>
  </r>
  <r>
    <s v="ORD-022"/>
    <d v="2026-02-13T00:00:00"/>
    <s v="  east  "/>
    <x v="2"/>
    <s v="P105"/>
    <n v="4"/>
    <s v="Corporate"/>
    <s v="Standing Desk Pro"/>
    <x v="0"/>
    <n v="900"/>
    <n v="3600"/>
    <x v="4"/>
    <s v="Standard"/>
  </r>
  <r>
    <s v="ORD-023"/>
    <d v="2026-01-12T00:00:00"/>
    <s v="  east  "/>
    <x v="2"/>
    <s v="P105"/>
    <n v="4"/>
    <s v="Corporate"/>
    <s v="Standing Desk Pro"/>
    <x v="0"/>
    <n v="900"/>
    <n v="3600"/>
    <x v="5"/>
    <s v="Standard"/>
  </r>
  <r>
    <s v="ORD-024"/>
    <d v="2026-04-07T00:00:00"/>
    <s v="  east  "/>
    <x v="2"/>
    <s v="P105"/>
    <n v="4"/>
    <s v="Corporate"/>
    <s v="Standing Desk Pro"/>
    <x v="0"/>
    <n v="900"/>
    <n v="3600"/>
    <x v="2"/>
    <s v="Standard"/>
  </r>
  <r>
    <s v="ORD-025"/>
    <d v="2026-04-14T00:00:00"/>
    <s v="  east  "/>
    <x v="2"/>
    <s v="P105"/>
    <n v="4"/>
    <s v="Corporate"/>
    <s v="Standing Desk Pro"/>
    <x v="0"/>
    <n v="900"/>
    <n v="3600"/>
    <x v="2"/>
    <s v="Standard"/>
  </r>
  <r>
    <s v="ORD-026"/>
    <d v="2026-05-08T00:00:00"/>
    <s v="  west  "/>
    <x v="3"/>
    <s v="P104"/>
    <n v="4"/>
    <s v="Consumer"/>
    <s v="Apex Ergonomic Chair"/>
    <x v="0"/>
    <n v="250"/>
    <n v="1000"/>
    <x v="1"/>
    <s v="Standard"/>
  </r>
  <r>
    <s v="ORD-027"/>
    <d v="2026-04-14T00:00:00"/>
    <s v="  west  "/>
    <x v="3"/>
    <s v="P104"/>
    <n v="4"/>
    <s v="Consumer"/>
    <s v="Apex Ergonomic Chair"/>
    <x v="0"/>
    <n v="250"/>
    <n v="1000"/>
    <x v="2"/>
    <s v="Standard"/>
  </r>
  <r>
    <s v="ORD-028"/>
    <d v="2026-01-04T00:00:00"/>
    <s v="  west  "/>
    <x v="3"/>
    <s v="P104"/>
    <n v="4"/>
    <s v="Consumer"/>
    <s v="Apex Ergonomic Chair"/>
    <x v="0"/>
    <n v="250"/>
    <n v="1000"/>
    <x v="5"/>
    <s v="Standard"/>
  </r>
  <r>
    <s v="ORD-029"/>
    <d v="2026-03-22T00:00:00"/>
    <s v="  west  "/>
    <x v="3"/>
    <s v="P104"/>
    <n v="4"/>
    <s v="Consumer"/>
    <s v="Apex Ergonomic Chair"/>
    <x v="0"/>
    <n v="250"/>
    <n v="1000"/>
    <x v="3"/>
    <s v="Standard"/>
  </r>
  <r>
    <s v="ORD-030"/>
    <d v="2026-05-07T00:00:00"/>
    <s v="  west  "/>
    <x v="3"/>
    <s v="P104"/>
    <n v="4"/>
    <s v="Consumer"/>
    <s v="Apex Ergonomic Chair"/>
    <x v="0"/>
    <n v="250"/>
    <n v="1000"/>
    <x v="1"/>
    <s v="Standard"/>
  </r>
  <r>
    <s v="ORD-031"/>
    <d v="2026-01-09T00:00:00"/>
    <s v="  west  "/>
    <x v="3"/>
    <s v="P104"/>
    <n v="4"/>
    <s v="Consumer"/>
    <s v="Apex Ergonomic Chair"/>
    <x v="0"/>
    <n v="250"/>
    <n v="1000"/>
    <x v="5"/>
    <s v="Standard"/>
  </r>
  <r>
    <s v="ORD-032"/>
    <d v="2026-01-04T00:00:00"/>
    <s v="  west  "/>
    <x v="3"/>
    <s v="P104"/>
    <n v="4"/>
    <s v="Consumer"/>
    <s v="Apex Ergonomic Chair"/>
    <x v="0"/>
    <n v="250"/>
    <n v="1000"/>
    <x v="5"/>
    <s v="Standard"/>
  </r>
  <r>
    <s v="ORD-033"/>
    <d v="2026-03-10T00:00:00"/>
    <s v="  west  "/>
    <x v="3"/>
    <s v="P104"/>
    <n v="6"/>
    <s v="Consumer"/>
    <s v="Apex Ergonomic Chair"/>
    <x v="0"/>
    <n v="250"/>
    <n v="1500"/>
    <x v="3"/>
    <s v="Standard"/>
  </r>
  <r>
    <s v="ORD-034"/>
    <d v="2026-01-17T00:00:00"/>
    <s v="  east  "/>
    <x v="2"/>
    <s v="P101"/>
    <n v="1"/>
    <s v="Small Business"/>
    <s v="Lumina Desk Lamp"/>
    <x v="2"/>
    <n v="45"/>
    <n v="45"/>
    <x v="5"/>
    <s v="Standard"/>
  </r>
  <r>
    <s v="ORD-035"/>
    <d v="2026-04-20T00:00:00"/>
    <s v="  west  "/>
    <x v="3"/>
    <s v="P101"/>
    <n v="1"/>
    <s v="Small Business"/>
    <s v="Lumina Desk Lamp"/>
    <x v="2"/>
    <n v="45"/>
    <n v="45"/>
    <x v="2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6F253-CD91-4E71-B765-DFA6DE3F8FC7}" name="MonthlyTren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0:B47" firstHeaderRow="1" firstDataRow="1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axis="axisRow" showAll="0">
      <items count="7"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 2" fld="10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927C5-3A7F-4C8F-A003-F74679727D1B}" name="CategoryRevenu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24" firstHeaderRow="0" firstDataRow="1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5" showAll="0"/>
    <pivotField dataField="1" numFmtId="165"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0" baseField="0" baseItem="0" numFmtId="165"/>
    <dataField name="% of Grand Total" fld="1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554AC-F024-470E-9965-EA5F1624CDD1}" name="RegionalRevenu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showAll="0"/>
    <pivotField numFmtId="16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165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165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A115C-52BF-4761-BEB1-2732C56250F3}" name="CatalogTable" displayName="CatalogTable" ref="A1:D6" totalsRowShown="0">
  <autoFilter ref="A1:D6" xr:uid="{851A115C-52BF-4761-BEB1-2732C56250F3}"/>
  <tableColumns count="4">
    <tableColumn id="1" xr3:uid="{7B2B7E47-95FF-4937-933D-C0C0B1B2B006}" name="Product ID"/>
    <tableColumn id="2" xr3:uid="{6F7438C8-6769-468E-9A00-7809C46D5A51}" name="Product Name"/>
    <tableColumn id="3" xr3:uid="{B16A0E34-2A8E-4121-A97A-029E45F0061E}" name="Category"/>
    <tableColumn id="4" xr3:uid="{1913D1A2-BE81-4B34-9B51-55E05255A642}" name="Unit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57F64-9C55-4D28-9EBF-1CD398E4273E}" name="SalesTable" displayName="SalesTable" ref="A1:M36" totalsRowShown="0">
  <autoFilter ref="A1:M36" xr:uid="{79D57F64-9C55-4D28-9EBF-1CD398E4273E}"/>
  <tableColumns count="13">
    <tableColumn id="1" xr3:uid="{04774DBF-AD75-42E0-89B5-6C23B34B643E}" name="Order ID"/>
    <tableColumn id="2" xr3:uid="{7D2969B6-6C7B-4D0F-ADD2-821FBA40DF0F}" name="Date" dataDxfId="3"/>
    <tableColumn id="3" xr3:uid="{78D325CB-1F17-40C4-B4DE-D8A6B46BA527}" name="Raw Region"/>
    <tableColumn id="4" xr3:uid="{B12E5B43-D361-4775-AD3C-3A560CA64212}" name="Clean Region">
      <calculatedColumnFormula>PROPER(TRIM(C2))</calculatedColumnFormula>
    </tableColumn>
    <tableColumn id="5" xr3:uid="{15051D43-FE82-49DB-9AC2-D708130189D9}" name="Product ID"/>
    <tableColumn id="6" xr3:uid="{1093E929-5D8C-4F83-A0A2-43A68CA691F3}" name="Units"/>
    <tableColumn id="7" xr3:uid="{36AD8FD7-F3EA-491E-91BC-845477E28626}" name="Customer Segment"/>
    <tableColumn id="8" xr3:uid="{767F43E2-A359-4CE1-81BB-E1AFFCC2D42F}" name="Product Name">
      <calculatedColumnFormula>_xlfn.XLOOKUP(E2, Product_Catalog!$A$2:$A$6, Product_Catalog!$B$2:$B$6, "Unknown")</calculatedColumnFormula>
    </tableColumn>
    <tableColumn id="9" xr3:uid="{A7A7E618-8B96-41E9-AFF4-C0F033267525}" name="Category">
      <calculatedColumnFormula>_xlfn.XLOOKUP(E2, Product_Catalog!$A$2:$A$6, Product_Catalog!$C$2:$C$6, "Unknown")</calculatedColumnFormula>
    </tableColumn>
    <tableColumn id="10" xr3:uid="{195A484D-EC81-4C22-85FA-181C1BF6FFE8}" name="Unit Price" dataDxfId="2">
      <calculatedColumnFormula>_xlfn.XLOOKUP(E2, Product_Catalog!$A$2:$A$6, Product_Catalog!$D$2:$D$6, 0)</calculatedColumnFormula>
    </tableColumn>
    <tableColumn id="11" xr3:uid="{EB80AD94-9C06-452C-89C2-DE9CC6CB73B0}" name="Revenue" dataDxfId="1">
      <calculatedColumnFormula>F2 * J2</calculatedColumnFormula>
    </tableColumn>
    <tableColumn id="12" xr3:uid="{236E5283-045C-45E2-96C5-408C92AF9FAB}" name="Month">
      <calculatedColumnFormula>TEXT(B2, "mmm")</calculatedColumnFormula>
    </tableColumn>
    <tableColumn id="13" xr3:uid="{4665E39E-8DDD-4855-B1EA-52731AA7134B}" name="Order Tier">
      <calculatedColumnFormula>IF(K2&gt;=5000, "High Value", "Standard")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BA2C-78B4-4DC6-A180-AE0F5F0B4507}">
  <dimension ref="A3:C47"/>
  <sheetViews>
    <sheetView tabSelected="1" workbookViewId="0"/>
  </sheetViews>
  <sheetFormatPr defaultRowHeight="14.4" x14ac:dyDescent="0.3"/>
  <cols>
    <col min="1" max="1" width="12.44140625" bestFit="1" customWidth="1"/>
    <col min="2" max="2" width="15.44140625" bestFit="1" customWidth="1"/>
    <col min="3" max="3" width="14.44140625" bestFit="1" customWidth="1"/>
  </cols>
  <sheetData>
    <row r="3" spans="1:2" x14ac:dyDescent="0.3">
      <c r="A3" s="3" t="s">
        <v>68</v>
      </c>
      <c r="B3" t="s">
        <v>74</v>
      </c>
    </row>
    <row r="4" spans="1:2" x14ac:dyDescent="0.3">
      <c r="A4" s="4" t="s">
        <v>69</v>
      </c>
      <c r="B4" s="2">
        <v>54045</v>
      </c>
    </row>
    <row r="5" spans="1:2" x14ac:dyDescent="0.3">
      <c r="A5" s="4" t="s">
        <v>70</v>
      </c>
      <c r="B5" s="2">
        <v>52150</v>
      </c>
    </row>
    <row r="6" spans="1:2" x14ac:dyDescent="0.3">
      <c r="A6" s="4" t="s">
        <v>71</v>
      </c>
      <c r="B6" s="2">
        <v>20280</v>
      </c>
    </row>
    <row r="7" spans="1:2" x14ac:dyDescent="0.3">
      <c r="A7" s="4" t="s">
        <v>72</v>
      </c>
      <c r="B7" s="2">
        <v>33725</v>
      </c>
    </row>
    <row r="8" spans="1:2" x14ac:dyDescent="0.3">
      <c r="A8" s="4" t="s">
        <v>73</v>
      </c>
      <c r="B8" s="2">
        <v>160200</v>
      </c>
    </row>
    <row r="20" spans="1:3" x14ac:dyDescent="0.3">
      <c r="A20" s="3" t="s">
        <v>68</v>
      </c>
      <c r="B20" t="s">
        <v>75</v>
      </c>
      <c r="C20" t="s">
        <v>76</v>
      </c>
    </row>
    <row r="21" spans="1:3" x14ac:dyDescent="0.3">
      <c r="A21" s="4" t="s">
        <v>9</v>
      </c>
      <c r="B21" s="2">
        <v>3230</v>
      </c>
      <c r="C21" s="5">
        <v>2.0162297128589263E-2</v>
      </c>
    </row>
    <row r="22" spans="1:3" x14ac:dyDescent="0.3">
      <c r="A22" s="4" t="s">
        <v>14</v>
      </c>
      <c r="B22" s="2">
        <v>156700</v>
      </c>
      <c r="C22" s="5">
        <v>0.97815230961298372</v>
      </c>
    </row>
    <row r="23" spans="1:3" x14ac:dyDescent="0.3">
      <c r="A23" s="4" t="s">
        <v>6</v>
      </c>
      <c r="B23" s="2">
        <v>270</v>
      </c>
      <c r="C23" s="5">
        <v>1.6853932584269663E-3</v>
      </c>
    </row>
    <row r="24" spans="1:3" x14ac:dyDescent="0.3">
      <c r="A24" s="4" t="s">
        <v>73</v>
      </c>
      <c r="B24" s="2">
        <v>160200</v>
      </c>
      <c r="C24" s="5">
        <v>1</v>
      </c>
    </row>
    <row r="40" spans="1:2" x14ac:dyDescent="0.3">
      <c r="A40" s="3" t="s">
        <v>68</v>
      </c>
      <c r="B40" t="s">
        <v>83</v>
      </c>
    </row>
    <row r="41" spans="1:2" x14ac:dyDescent="0.3">
      <c r="A41" s="4" t="s">
        <v>77</v>
      </c>
      <c r="B41" s="2">
        <v>8395</v>
      </c>
    </row>
    <row r="42" spans="1:2" x14ac:dyDescent="0.3">
      <c r="A42" s="4" t="s">
        <v>78</v>
      </c>
      <c r="B42" s="2">
        <v>6300</v>
      </c>
    </row>
    <row r="43" spans="1:2" x14ac:dyDescent="0.3">
      <c r="A43" s="4" t="s">
        <v>79</v>
      </c>
      <c r="B43" s="2">
        <v>12280</v>
      </c>
    </row>
    <row r="44" spans="1:2" x14ac:dyDescent="0.3">
      <c r="A44" s="4" t="s">
        <v>80</v>
      </c>
      <c r="B44" s="2">
        <v>29545</v>
      </c>
    </row>
    <row r="45" spans="1:2" x14ac:dyDescent="0.3">
      <c r="A45" s="4" t="s">
        <v>81</v>
      </c>
      <c r="B45" s="2">
        <v>30800</v>
      </c>
    </row>
    <row r="46" spans="1:2" x14ac:dyDescent="0.3">
      <c r="A46" s="4" t="s">
        <v>82</v>
      </c>
      <c r="B46" s="2">
        <v>72880</v>
      </c>
    </row>
    <row r="47" spans="1:2" x14ac:dyDescent="0.3">
      <c r="A47" s="4" t="s">
        <v>73</v>
      </c>
      <c r="B47" s="2">
        <v>160200</v>
      </c>
    </row>
  </sheetData>
  <conditionalFormatting pivot="1" sqref="B4:B8">
    <cfRule type="colorScale" priority="1">
      <colorScale>
        <cfvo type="min"/>
        <cfvo type="formula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BB7C-9312-41C5-848E-5A38520710EE}">
  <dimension ref="B2:F28"/>
  <sheetViews>
    <sheetView workbookViewId="0"/>
  </sheetViews>
  <sheetFormatPr defaultRowHeight="14.4" x14ac:dyDescent="0.3"/>
  <cols>
    <col min="2" max="2" width="11.6640625" bestFit="1" customWidth="1"/>
    <col min="3" max="3" width="9.109375" bestFit="1" customWidth="1"/>
    <col min="5" max="5" width="10.109375" bestFit="1" customWidth="1"/>
    <col min="6" max="6" width="9" bestFit="1" customWidth="1"/>
  </cols>
  <sheetData>
    <row r="2" spans="2:6" x14ac:dyDescent="0.3">
      <c r="B2" t="s">
        <v>84</v>
      </c>
    </row>
    <row r="3" spans="2:6" x14ac:dyDescent="0.3">
      <c r="B3" t="s">
        <v>85</v>
      </c>
      <c r="C3" t="s">
        <v>86</v>
      </c>
      <c r="D3" t="s">
        <v>87</v>
      </c>
      <c r="E3" t="s">
        <v>88</v>
      </c>
      <c r="F3" t="s">
        <v>89</v>
      </c>
    </row>
    <row r="4" spans="2:6" x14ac:dyDescent="0.3">
      <c r="B4" s="2">
        <f>SUM(Data_Clean!K2:K36)</f>
        <v>160200</v>
      </c>
      <c r="C4" s="2">
        <f>AVERAGE(Data_Clean!K2:K36)</f>
        <v>4577.1428571428569</v>
      </c>
      <c r="D4">
        <f>COUNTA(Data_Clean!A2:A36)</f>
        <v>35</v>
      </c>
      <c r="E4" s="2">
        <f>MAX(Data_Clean!K2:K36)</f>
        <v>24300</v>
      </c>
      <c r="F4" s="2">
        <f>MIN(Data_Clean!K2:K36)</f>
        <v>45</v>
      </c>
    </row>
    <row r="18" spans="2:2" x14ac:dyDescent="0.3">
      <c r="B18" s="6" t="s">
        <v>90</v>
      </c>
    </row>
    <row r="20" spans="2:2" x14ac:dyDescent="0.3">
      <c r="B20" t="s">
        <v>91</v>
      </c>
    </row>
    <row r="21" spans="2:2" x14ac:dyDescent="0.3">
      <c r="B21" t="s">
        <v>92</v>
      </c>
    </row>
    <row r="22" spans="2:2" x14ac:dyDescent="0.3">
      <c r="B22" t="s">
        <v>93</v>
      </c>
    </row>
    <row r="23" spans="2:2" x14ac:dyDescent="0.3">
      <c r="B23" t="s">
        <v>94</v>
      </c>
    </row>
    <row r="25" spans="2:2" x14ac:dyDescent="0.3">
      <c r="B25" t="s">
        <v>95</v>
      </c>
    </row>
    <row r="26" spans="2:2" x14ac:dyDescent="0.3">
      <c r="B26" t="s">
        <v>96</v>
      </c>
    </row>
    <row r="27" spans="2:2" x14ac:dyDescent="0.3">
      <c r="B27" t="s">
        <v>97</v>
      </c>
    </row>
    <row r="28" spans="2:2" x14ac:dyDescent="0.3">
      <c r="B28" t="s">
        <v>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78AD-39EF-45F0-B2E6-BEB10735DB50}">
  <dimension ref="A1:D6"/>
  <sheetViews>
    <sheetView workbookViewId="0"/>
  </sheetViews>
  <sheetFormatPr defaultRowHeight="14.4" x14ac:dyDescent="0.3"/>
  <cols>
    <col min="1" max="1" width="11.5546875" customWidth="1"/>
    <col min="2" max="2" width="14.77734375" customWidth="1"/>
    <col min="3" max="3" width="10.21875" customWidth="1"/>
    <col min="4" max="4" width="1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45</v>
      </c>
    </row>
    <row r="3" spans="1:4" x14ac:dyDescent="0.3">
      <c r="A3" t="s">
        <v>7</v>
      </c>
      <c r="B3" t="s">
        <v>8</v>
      </c>
      <c r="C3" t="s">
        <v>9</v>
      </c>
      <c r="D3">
        <v>350</v>
      </c>
    </row>
    <row r="4" spans="1:4" x14ac:dyDescent="0.3">
      <c r="A4" t="s">
        <v>10</v>
      </c>
      <c r="B4" t="s">
        <v>11</v>
      </c>
      <c r="C4" t="s">
        <v>9</v>
      </c>
      <c r="D4">
        <v>60</v>
      </c>
    </row>
    <row r="5" spans="1:4" x14ac:dyDescent="0.3">
      <c r="A5" t="s">
        <v>12</v>
      </c>
      <c r="B5" t="s">
        <v>13</v>
      </c>
      <c r="C5" t="s">
        <v>14</v>
      </c>
      <c r="D5">
        <v>250</v>
      </c>
    </row>
    <row r="6" spans="1:4" x14ac:dyDescent="0.3">
      <c r="A6" t="s">
        <v>15</v>
      </c>
      <c r="B6" t="s">
        <v>16</v>
      </c>
      <c r="C6" t="s">
        <v>14</v>
      </c>
      <c r="D6">
        <v>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6745-0A91-4AE3-B8C2-855B37C27539}">
  <dimension ref="A1:M36"/>
  <sheetViews>
    <sheetView workbookViewId="0"/>
  </sheetViews>
  <sheetFormatPr defaultRowHeight="14.4" x14ac:dyDescent="0.3"/>
  <cols>
    <col min="1" max="1" width="9.77734375" customWidth="1"/>
    <col min="2" max="2" width="10.33203125" bestFit="1" customWidth="1"/>
    <col min="3" max="3" width="12.21875" customWidth="1"/>
    <col min="4" max="4" width="13.5546875" customWidth="1"/>
    <col min="5" max="5" width="11.5546875" customWidth="1"/>
    <col min="7" max="7" width="18.6640625" customWidth="1"/>
    <col min="8" max="8" width="14.77734375" customWidth="1"/>
    <col min="9" max="9" width="10.21875" customWidth="1"/>
    <col min="10" max="10" width="11" customWidth="1"/>
    <col min="11" max="11" width="9.88671875" customWidth="1"/>
    <col min="13" max="13" width="11.109375" customWidth="1"/>
  </cols>
  <sheetData>
    <row r="1" spans="1:13" x14ac:dyDescent="0.3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21</v>
      </c>
      <c r="G1" t="s">
        <v>22</v>
      </c>
      <c r="H1" t="s">
        <v>1</v>
      </c>
      <c r="I1" t="s">
        <v>2</v>
      </c>
      <c r="J1" t="s">
        <v>3</v>
      </c>
      <c r="K1" t="s">
        <v>23</v>
      </c>
      <c r="L1" t="s">
        <v>24</v>
      </c>
      <c r="M1" t="s">
        <v>25</v>
      </c>
    </row>
    <row r="2" spans="1:13" x14ac:dyDescent="0.3">
      <c r="A2" t="s">
        <v>26</v>
      </c>
      <c r="B2" s="1">
        <v>46177</v>
      </c>
      <c r="C2" t="s">
        <v>27</v>
      </c>
      <c r="D2" t="str">
        <f>PROPER(TRIM(C2))</f>
        <v>North</v>
      </c>
      <c r="E2" t="s">
        <v>15</v>
      </c>
      <c r="F2">
        <v>13</v>
      </c>
      <c r="G2" t="s">
        <v>28</v>
      </c>
      <c r="H2" t="str">
        <f>_xlfn.XLOOKUP(E2, Product_Catalog!$A$2:$A$6, Product_Catalog!$B$2:$B$6, "Unknown")</f>
        <v>Standing Desk Pro</v>
      </c>
      <c r="I2" t="str">
        <f>_xlfn.XLOOKUP(E2, Product_Catalog!$A$2:$A$6, Product_Catalog!$C$2:$C$6, "Unknown")</f>
        <v>Furniture</v>
      </c>
      <c r="J2" s="2">
        <f>_xlfn.XLOOKUP(E2, Product_Catalog!$A$2:$A$6, Product_Catalog!$D$2:$D$6, 0)</f>
        <v>900</v>
      </c>
      <c r="K2" s="2">
        <f>F2 * J2</f>
        <v>11700</v>
      </c>
      <c r="L2" t="str">
        <f>TEXT(B2, "mmm")</f>
        <v>Jun</v>
      </c>
      <c r="M2" t="str">
        <f>IF(K2&gt;=5000, "High Value", "Standard")</f>
        <v>High Value</v>
      </c>
    </row>
    <row r="3" spans="1:13" x14ac:dyDescent="0.3">
      <c r="A3" t="s">
        <v>29</v>
      </c>
      <c r="B3" s="1">
        <v>46198</v>
      </c>
      <c r="C3" t="s">
        <v>27</v>
      </c>
      <c r="D3" t="str">
        <f>PROPER(TRIM(C3))</f>
        <v>North</v>
      </c>
      <c r="E3" t="s">
        <v>15</v>
      </c>
      <c r="F3">
        <v>10</v>
      </c>
      <c r="G3" t="s">
        <v>28</v>
      </c>
      <c r="H3" t="str">
        <f>_xlfn.XLOOKUP(E3, Product_Catalog!$A$2:$A$6, Product_Catalog!$B$2:$B$6, "Unknown")</f>
        <v>Standing Desk Pro</v>
      </c>
      <c r="I3" t="str">
        <f>_xlfn.XLOOKUP(E3, Product_Catalog!$A$2:$A$6, Product_Catalog!$C$2:$C$6, "Unknown")</f>
        <v>Furniture</v>
      </c>
      <c r="J3" s="2">
        <f>_xlfn.XLOOKUP(E3, Product_Catalog!$A$2:$A$6, Product_Catalog!$D$2:$D$6, 0)</f>
        <v>900</v>
      </c>
      <c r="K3" s="2">
        <f>F3 * J3</f>
        <v>9000</v>
      </c>
      <c r="L3" t="str">
        <f>TEXT(B3, "mmm")</f>
        <v>Jun</v>
      </c>
      <c r="M3" t="str">
        <f>IF(K3&gt;=5000, "High Value", "Standard")</f>
        <v>High Value</v>
      </c>
    </row>
    <row r="4" spans="1:13" x14ac:dyDescent="0.3">
      <c r="A4" t="s">
        <v>30</v>
      </c>
      <c r="B4" s="1">
        <v>46182</v>
      </c>
      <c r="C4" t="s">
        <v>31</v>
      </c>
      <c r="D4" t="str">
        <f>PROPER(TRIM(C4))</f>
        <v>South</v>
      </c>
      <c r="E4" t="s">
        <v>15</v>
      </c>
      <c r="F4">
        <v>10</v>
      </c>
      <c r="G4" t="s">
        <v>28</v>
      </c>
      <c r="H4" t="str">
        <f>_xlfn.XLOOKUP(E4, Product_Catalog!$A$2:$A$6, Product_Catalog!$B$2:$B$6, "Unknown")</f>
        <v>Standing Desk Pro</v>
      </c>
      <c r="I4" t="str">
        <f>_xlfn.XLOOKUP(E4, Product_Catalog!$A$2:$A$6, Product_Catalog!$C$2:$C$6, "Unknown")</f>
        <v>Furniture</v>
      </c>
      <c r="J4" s="2">
        <f>_xlfn.XLOOKUP(E4, Product_Catalog!$A$2:$A$6, Product_Catalog!$D$2:$D$6, 0)</f>
        <v>900</v>
      </c>
      <c r="K4" s="2">
        <f>F4 * J4</f>
        <v>9000</v>
      </c>
      <c r="L4" t="str">
        <f>TEXT(B4, "mmm")</f>
        <v>Jun</v>
      </c>
      <c r="M4" t="str">
        <f>IF(K4&gt;=5000, "High Value", "Standard")</f>
        <v>High Value</v>
      </c>
    </row>
    <row r="5" spans="1:13" x14ac:dyDescent="0.3">
      <c r="A5" t="s">
        <v>32</v>
      </c>
      <c r="B5" s="1">
        <v>46196</v>
      </c>
      <c r="C5" t="s">
        <v>33</v>
      </c>
      <c r="D5" t="str">
        <f>PROPER(TRIM(C5))</f>
        <v>East</v>
      </c>
      <c r="E5" t="s">
        <v>15</v>
      </c>
      <c r="F5">
        <v>20</v>
      </c>
      <c r="G5" t="s">
        <v>28</v>
      </c>
      <c r="H5" t="str">
        <f>_xlfn.XLOOKUP(E5, Product_Catalog!$A$2:$A$6, Product_Catalog!$B$2:$B$6, "Unknown")</f>
        <v>Standing Desk Pro</v>
      </c>
      <c r="I5" t="str">
        <f>_xlfn.XLOOKUP(E5, Product_Catalog!$A$2:$A$6, Product_Catalog!$C$2:$C$6, "Unknown")</f>
        <v>Furniture</v>
      </c>
      <c r="J5" s="2">
        <f>_xlfn.XLOOKUP(E5, Product_Catalog!$A$2:$A$6, Product_Catalog!$D$2:$D$6, 0)</f>
        <v>900</v>
      </c>
      <c r="K5" s="2">
        <f>F5 * J5</f>
        <v>18000</v>
      </c>
      <c r="L5" t="str">
        <f>TEXT(B5, "mmm")</f>
        <v>Jun</v>
      </c>
      <c r="M5" t="str">
        <f>IF(K5&gt;=5000, "High Value", "Standard")</f>
        <v>High Value</v>
      </c>
    </row>
    <row r="6" spans="1:13" x14ac:dyDescent="0.3">
      <c r="A6" t="s">
        <v>34</v>
      </c>
      <c r="B6" s="1">
        <v>46199</v>
      </c>
      <c r="C6" t="s">
        <v>35</v>
      </c>
      <c r="D6" t="str">
        <f>PROPER(TRIM(C6))</f>
        <v>West</v>
      </c>
      <c r="E6" t="s">
        <v>15</v>
      </c>
      <c r="F6">
        <v>27</v>
      </c>
      <c r="G6" t="s">
        <v>28</v>
      </c>
      <c r="H6" t="str">
        <f>_xlfn.XLOOKUP(E6, Product_Catalog!$A$2:$A$6, Product_Catalog!$B$2:$B$6, "Unknown")</f>
        <v>Standing Desk Pro</v>
      </c>
      <c r="I6" t="str">
        <f>_xlfn.XLOOKUP(E6, Product_Catalog!$A$2:$A$6, Product_Catalog!$C$2:$C$6, "Unknown")</f>
        <v>Furniture</v>
      </c>
      <c r="J6" s="2">
        <f>_xlfn.XLOOKUP(E6, Product_Catalog!$A$2:$A$6, Product_Catalog!$D$2:$D$6, 0)</f>
        <v>900</v>
      </c>
      <c r="K6" s="2">
        <f>F6 * J6</f>
        <v>24300</v>
      </c>
      <c r="L6" t="str">
        <f>TEXT(B6, "mmm")</f>
        <v>Jun</v>
      </c>
      <c r="M6" t="str">
        <f>IF(K6&gt;=5000, "High Value", "Standard")</f>
        <v>High Value</v>
      </c>
    </row>
    <row r="7" spans="1:13" x14ac:dyDescent="0.3">
      <c r="A7" t="s">
        <v>36</v>
      </c>
      <c r="B7" s="1">
        <v>46195</v>
      </c>
      <c r="C7" t="s">
        <v>35</v>
      </c>
      <c r="D7" t="str">
        <f>PROPER(TRIM(C7))</f>
        <v>West</v>
      </c>
      <c r="E7" t="s">
        <v>7</v>
      </c>
      <c r="F7">
        <v>2</v>
      </c>
      <c r="G7" t="s">
        <v>37</v>
      </c>
      <c r="H7" t="str">
        <f>_xlfn.XLOOKUP(E7, Product_Catalog!$A$2:$A$6, Product_Catalog!$B$2:$B$6, "Unknown")</f>
        <v>UltraWide Monitor</v>
      </c>
      <c r="I7" t="str">
        <f>_xlfn.XLOOKUP(E7, Product_Catalog!$A$2:$A$6, Product_Catalog!$C$2:$C$6, "Unknown")</f>
        <v>Electronics</v>
      </c>
      <c r="J7" s="2">
        <f>_xlfn.XLOOKUP(E7, Product_Catalog!$A$2:$A$6, Product_Catalog!$D$2:$D$6, 0)</f>
        <v>350</v>
      </c>
      <c r="K7" s="2">
        <f>F7 * J7</f>
        <v>700</v>
      </c>
      <c r="L7" t="str">
        <f>TEXT(B7, "mmm")</f>
        <v>Jun</v>
      </c>
      <c r="M7" t="str">
        <f>IF(K7&gt;=5000, "High Value", "Standard")</f>
        <v>Standard</v>
      </c>
    </row>
    <row r="8" spans="1:13" x14ac:dyDescent="0.3">
      <c r="A8" t="s">
        <v>38</v>
      </c>
      <c r="B8" s="1">
        <v>46197</v>
      </c>
      <c r="C8" t="s">
        <v>35</v>
      </c>
      <c r="D8" t="str">
        <f>PROPER(TRIM(C8))</f>
        <v>West</v>
      </c>
      <c r="E8" t="s">
        <v>4</v>
      </c>
      <c r="F8">
        <v>4</v>
      </c>
      <c r="G8" t="s">
        <v>39</v>
      </c>
      <c r="H8" t="str">
        <f>_xlfn.XLOOKUP(E8, Product_Catalog!$A$2:$A$6, Product_Catalog!$B$2:$B$6, "Unknown")</f>
        <v>Lumina Desk Lamp</v>
      </c>
      <c r="I8" t="str">
        <f>_xlfn.XLOOKUP(E8, Product_Catalog!$A$2:$A$6, Product_Catalog!$C$2:$C$6, "Unknown")</f>
        <v>Lighting</v>
      </c>
      <c r="J8" s="2">
        <f>_xlfn.XLOOKUP(E8, Product_Catalog!$A$2:$A$6, Product_Catalog!$D$2:$D$6, 0)</f>
        <v>45</v>
      </c>
      <c r="K8" s="2">
        <f>F8 * J8</f>
        <v>180</v>
      </c>
      <c r="L8" t="str">
        <f>TEXT(B8, "mmm")</f>
        <v>Jun</v>
      </c>
      <c r="M8" t="str">
        <f>IF(K8&gt;=5000, "High Value", "Standard")</f>
        <v>Standard</v>
      </c>
    </row>
    <row r="9" spans="1:13" x14ac:dyDescent="0.3">
      <c r="A9" t="s">
        <v>40</v>
      </c>
      <c r="B9" s="1">
        <v>46153</v>
      </c>
      <c r="C9" t="s">
        <v>27</v>
      </c>
      <c r="D9" t="str">
        <f>PROPER(TRIM(C9))</f>
        <v>North</v>
      </c>
      <c r="E9" t="s">
        <v>15</v>
      </c>
      <c r="F9">
        <v>10</v>
      </c>
      <c r="G9" t="s">
        <v>28</v>
      </c>
      <c r="H9" t="str">
        <f>_xlfn.XLOOKUP(E9, Product_Catalog!$A$2:$A$6, Product_Catalog!$B$2:$B$6, "Unknown")</f>
        <v>Standing Desk Pro</v>
      </c>
      <c r="I9" t="str">
        <f>_xlfn.XLOOKUP(E9, Product_Catalog!$A$2:$A$6, Product_Catalog!$C$2:$C$6, "Unknown")</f>
        <v>Furniture</v>
      </c>
      <c r="J9" s="2">
        <f>_xlfn.XLOOKUP(E9, Product_Catalog!$A$2:$A$6, Product_Catalog!$D$2:$D$6, 0)</f>
        <v>900</v>
      </c>
      <c r="K9" s="2">
        <f>F9 * J9</f>
        <v>9000</v>
      </c>
      <c r="L9" t="str">
        <f>TEXT(B9, "mmm")</f>
        <v>May</v>
      </c>
      <c r="M9" t="str">
        <f>IF(K9&gt;=5000, "High Value", "Standard")</f>
        <v>High Value</v>
      </c>
    </row>
    <row r="10" spans="1:13" x14ac:dyDescent="0.3">
      <c r="A10" t="s">
        <v>41</v>
      </c>
      <c r="B10" s="1">
        <v>46135</v>
      </c>
      <c r="C10" t="s">
        <v>27</v>
      </c>
      <c r="D10" t="str">
        <f>PROPER(TRIM(C10))</f>
        <v>North</v>
      </c>
      <c r="E10" t="s">
        <v>15</v>
      </c>
      <c r="F10">
        <v>10</v>
      </c>
      <c r="G10" t="s">
        <v>28</v>
      </c>
      <c r="H10" t="str">
        <f>_xlfn.XLOOKUP(E10, Product_Catalog!$A$2:$A$6, Product_Catalog!$B$2:$B$6, "Unknown")</f>
        <v>Standing Desk Pro</v>
      </c>
      <c r="I10" t="str">
        <f>_xlfn.XLOOKUP(E10, Product_Catalog!$A$2:$A$6, Product_Catalog!$C$2:$C$6, "Unknown")</f>
        <v>Furniture</v>
      </c>
      <c r="J10" s="2">
        <f>_xlfn.XLOOKUP(E10, Product_Catalog!$A$2:$A$6, Product_Catalog!$D$2:$D$6, 0)</f>
        <v>900</v>
      </c>
      <c r="K10" s="2">
        <f>F10 * J10</f>
        <v>9000</v>
      </c>
      <c r="L10" t="str">
        <f>TEXT(B10, "mmm")</f>
        <v>Apr</v>
      </c>
      <c r="M10" t="str">
        <f>IF(K10&gt;=5000, "High Value", "Standard")</f>
        <v>High Value</v>
      </c>
    </row>
    <row r="11" spans="1:13" x14ac:dyDescent="0.3">
      <c r="A11" t="s">
        <v>42</v>
      </c>
      <c r="B11" s="1">
        <v>46100</v>
      </c>
      <c r="C11" t="s">
        <v>27</v>
      </c>
      <c r="D11" t="str">
        <f>PROPER(TRIM(C11))</f>
        <v>North</v>
      </c>
      <c r="E11" t="s">
        <v>15</v>
      </c>
      <c r="F11">
        <v>10</v>
      </c>
      <c r="G11" t="s">
        <v>28</v>
      </c>
      <c r="H11" t="str">
        <f>_xlfn.XLOOKUP(E11, Product_Catalog!$A$2:$A$6, Product_Catalog!$B$2:$B$6, "Unknown")</f>
        <v>Standing Desk Pro</v>
      </c>
      <c r="I11" t="str">
        <f>_xlfn.XLOOKUP(E11, Product_Catalog!$A$2:$A$6, Product_Catalog!$C$2:$C$6, "Unknown")</f>
        <v>Furniture</v>
      </c>
      <c r="J11" s="2">
        <f>_xlfn.XLOOKUP(E11, Product_Catalog!$A$2:$A$6, Product_Catalog!$D$2:$D$6, 0)</f>
        <v>900</v>
      </c>
      <c r="K11" s="2">
        <f>F11 * J11</f>
        <v>9000</v>
      </c>
      <c r="L11" t="str">
        <f>TEXT(B11, "mmm")</f>
        <v>Mar</v>
      </c>
      <c r="M11" t="str">
        <f>IF(K11&gt;=5000, "High Value", "Standard")</f>
        <v>High Value</v>
      </c>
    </row>
    <row r="12" spans="1:13" x14ac:dyDescent="0.3">
      <c r="A12" t="s">
        <v>43</v>
      </c>
      <c r="B12" s="1">
        <v>46068</v>
      </c>
      <c r="C12" t="s">
        <v>27</v>
      </c>
      <c r="D12" t="str">
        <f>PROPER(TRIM(C12))</f>
        <v>North</v>
      </c>
      <c r="E12" t="s">
        <v>15</v>
      </c>
      <c r="F12">
        <v>3</v>
      </c>
      <c r="G12" t="s">
        <v>28</v>
      </c>
      <c r="H12" t="str">
        <f>_xlfn.XLOOKUP(E12, Product_Catalog!$A$2:$A$6, Product_Catalog!$B$2:$B$6, "Unknown")</f>
        <v>Standing Desk Pro</v>
      </c>
      <c r="I12" t="str">
        <f>_xlfn.XLOOKUP(E12, Product_Catalog!$A$2:$A$6, Product_Catalog!$C$2:$C$6, "Unknown")</f>
        <v>Furniture</v>
      </c>
      <c r="J12" s="2">
        <f>_xlfn.XLOOKUP(E12, Product_Catalog!$A$2:$A$6, Product_Catalog!$D$2:$D$6, 0)</f>
        <v>900</v>
      </c>
      <c r="K12" s="2">
        <f>F12 * J12</f>
        <v>2700</v>
      </c>
      <c r="L12" t="str">
        <f>TEXT(B12, "mmm")</f>
        <v>Feb</v>
      </c>
      <c r="M12" t="str">
        <f>IF(K12&gt;=5000, "High Value", "Standard")</f>
        <v>Standard</v>
      </c>
    </row>
    <row r="13" spans="1:13" x14ac:dyDescent="0.3">
      <c r="A13" t="s">
        <v>44</v>
      </c>
      <c r="B13" s="1">
        <v>46034</v>
      </c>
      <c r="C13" t="s">
        <v>27</v>
      </c>
      <c r="D13" t="str">
        <f>PROPER(TRIM(C13))</f>
        <v>North</v>
      </c>
      <c r="E13" t="s">
        <v>7</v>
      </c>
      <c r="F13">
        <v>5</v>
      </c>
      <c r="G13" t="s">
        <v>39</v>
      </c>
      <c r="H13" t="str">
        <f>_xlfn.XLOOKUP(E13, Product_Catalog!$A$2:$A$6, Product_Catalog!$B$2:$B$6, "Unknown")</f>
        <v>UltraWide Monitor</v>
      </c>
      <c r="I13" t="str">
        <f>_xlfn.XLOOKUP(E13, Product_Catalog!$A$2:$A$6, Product_Catalog!$C$2:$C$6, "Unknown")</f>
        <v>Electronics</v>
      </c>
      <c r="J13" s="2">
        <f>_xlfn.XLOOKUP(E13, Product_Catalog!$A$2:$A$6, Product_Catalog!$D$2:$D$6, 0)</f>
        <v>350</v>
      </c>
      <c r="K13" s="2">
        <f>F13 * J13</f>
        <v>1750</v>
      </c>
      <c r="L13" t="str">
        <f>TEXT(B13, "mmm")</f>
        <v>Jan</v>
      </c>
      <c r="M13" t="str">
        <f>IF(K13&gt;=5000, "High Value", "Standard")</f>
        <v>Standard</v>
      </c>
    </row>
    <row r="14" spans="1:13" x14ac:dyDescent="0.3">
      <c r="A14" t="s">
        <v>45</v>
      </c>
      <c r="B14" s="1">
        <v>46159</v>
      </c>
      <c r="C14" t="s">
        <v>31</v>
      </c>
      <c r="D14" t="str">
        <f>PROPER(TRIM(C14))</f>
        <v>South</v>
      </c>
      <c r="E14" t="s">
        <v>15</v>
      </c>
      <c r="F14">
        <v>10</v>
      </c>
      <c r="G14" t="s">
        <v>28</v>
      </c>
      <c r="H14" t="str">
        <f>_xlfn.XLOOKUP(E14, Product_Catalog!$A$2:$A$6, Product_Catalog!$B$2:$B$6, "Unknown")</f>
        <v>Standing Desk Pro</v>
      </c>
      <c r="I14" t="str">
        <f>_xlfn.XLOOKUP(E14, Product_Catalog!$A$2:$A$6, Product_Catalog!$C$2:$C$6, "Unknown")</f>
        <v>Furniture</v>
      </c>
      <c r="J14" s="2">
        <f>_xlfn.XLOOKUP(E14, Product_Catalog!$A$2:$A$6, Product_Catalog!$D$2:$D$6, 0)</f>
        <v>900</v>
      </c>
      <c r="K14" s="2">
        <f>F14 * J14</f>
        <v>9000</v>
      </c>
      <c r="L14" t="str">
        <f>TEXT(B14, "mmm")</f>
        <v>May</v>
      </c>
      <c r="M14" t="str">
        <f>IF(K14&gt;=5000, "High Value", "Standard")</f>
        <v>High Value</v>
      </c>
    </row>
    <row r="15" spans="1:13" x14ac:dyDescent="0.3">
      <c r="A15" t="s">
        <v>46</v>
      </c>
      <c r="B15" s="1">
        <v>46130</v>
      </c>
      <c r="C15" t="s">
        <v>31</v>
      </c>
      <c r="D15" t="str">
        <f>PROPER(TRIM(C15))</f>
        <v>South</v>
      </c>
      <c r="E15" t="s">
        <v>12</v>
      </c>
      <c r="F15">
        <v>6</v>
      </c>
      <c r="G15" t="s">
        <v>37</v>
      </c>
      <c r="H15" t="str">
        <f>_xlfn.XLOOKUP(E15, Product_Catalog!$A$2:$A$6, Product_Catalog!$B$2:$B$6, "Unknown")</f>
        <v>Apex Ergonomic Chair</v>
      </c>
      <c r="I15" t="str">
        <f>_xlfn.XLOOKUP(E15, Product_Catalog!$A$2:$A$6, Product_Catalog!$C$2:$C$6, "Unknown")</f>
        <v>Furniture</v>
      </c>
      <c r="J15" s="2">
        <f>_xlfn.XLOOKUP(E15, Product_Catalog!$A$2:$A$6, Product_Catalog!$D$2:$D$6, 0)</f>
        <v>250</v>
      </c>
      <c r="K15" s="2">
        <f>F15 * J15</f>
        <v>1500</v>
      </c>
      <c r="L15" t="str">
        <f>TEXT(B15, "mmm")</f>
        <v>Apr</v>
      </c>
      <c r="M15" t="str">
        <f>IF(K15&gt;=5000, "High Value", "Standard")</f>
        <v>Standard</v>
      </c>
    </row>
    <row r="16" spans="1:13" x14ac:dyDescent="0.3">
      <c r="A16" t="s">
        <v>47</v>
      </c>
      <c r="B16" s="1">
        <v>46090</v>
      </c>
      <c r="C16" t="s">
        <v>31</v>
      </c>
      <c r="D16" t="str">
        <f>PROPER(TRIM(C16))</f>
        <v>South</v>
      </c>
      <c r="E16" t="s">
        <v>10</v>
      </c>
      <c r="F16">
        <v>13</v>
      </c>
      <c r="G16" t="s">
        <v>37</v>
      </c>
      <c r="H16" t="str">
        <f>_xlfn.XLOOKUP(E16, Product_Catalog!$A$2:$A$6, Product_Catalog!$B$2:$B$6, "Unknown")</f>
        <v>Wireless Keyboard</v>
      </c>
      <c r="I16" t="str">
        <f>_xlfn.XLOOKUP(E16, Product_Catalog!$A$2:$A$6, Product_Catalog!$C$2:$C$6, "Unknown")</f>
        <v>Electronics</v>
      </c>
      <c r="J16" s="2">
        <f>_xlfn.XLOOKUP(E16, Product_Catalog!$A$2:$A$6, Product_Catalog!$D$2:$D$6, 0)</f>
        <v>60</v>
      </c>
      <c r="K16" s="2">
        <f>F16 * J16</f>
        <v>780</v>
      </c>
      <c r="L16" t="str">
        <f>TEXT(B16, "mmm")</f>
        <v>Mar</v>
      </c>
      <c r="M16" t="str">
        <f>IF(K16&gt;=5000, "High Value", "Standard")</f>
        <v>Standard</v>
      </c>
    </row>
    <row r="17" spans="1:13" x14ac:dyDescent="0.3">
      <c r="A17" t="s">
        <v>48</v>
      </c>
      <c r="B17" s="1">
        <v>46138</v>
      </c>
      <c r="C17" t="s">
        <v>33</v>
      </c>
      <c r="D17" t="str">
        <f>PROPER(TRIM(C17))</f>
        <v>East</v>
      </c>
      <c r="E17" t="s">
        <v>15</v>
      </c>
      <c r="F17">
        <v>4</v>
      </c>
      <c r="G17" t="s">
        <v>28</v>
      </c>
      <c r="H17" t="str">
        <f>_xlfn.XLOOKUP(E17, Product_Catalog!$A$2:$A$6, Product_Catalog!$B$2:$B$6, "Unknown")</f>
        <v>Standing Desk Pro</v>
      </c>
      <c r="I17" t="str">
        <f>_xlfn.XLOOKUP(E17, Product_Catalog!$A$2:$A$6, Product_Catalog!$C$2:$C$6, "Unknown")</f>
        <v>Furniture</v>
      </c>
      <c r="J17" s="2">
        <f>_xlfn.XLOOKUP(E17, Product_Catalog!$A$2:$A$6, Product_Catalog!$D$2:$D$6, 0)</f>
        <v>900</v>
      </c>
      <c r="K17" s="2">
        <f>F17 * J17</f>
        <v>3600</v>
      </c>
      <c r="L17" t="str">
        <f>TEXT(B17, "mmm")</f>
        <v>Apr</v>
      </c>
      <c r="M17" t="str">
        <f>IF(K17&gt;=5000, "High Value", "Standard")</f>
        <v>Standard</v>
      </c>
    </row>
    <row r="18" spans="1:13" x14ac:dyDescent="0.3">
      <c r="A18" t="s">
        <v>49</v>
      </c>
      <c r="B18" s="1">
        <v>46139</v>
      </c>
      <c r="C18" t="s">
        <v>33</v>
      </c>
      <c r="D18" t="str">
        <f>PROPER(TRIM(C18))</f>
        <v>East</v>
      </c>
      <c r="E18" t="s">
        <v>15</v>
      </c>
      <c r="F18">
        <v>4</v>
      </c>
      <c r="G18" t="s">
        <v>28</v>
      </c>
      <c r="H18" t="str">
        <f>_xlfn.XLOOKUP(E18, Product_Catalog!$A$2:$A$6, Product_Catalog!$B$2:$B$6, "Unknown")</f>
        <v>Standing Desk Pro</v>
      </c>
      <c r="I18" t="str">
        <f>_xlfn.XLOOKUP(E18, Product_Catalog!$A$2:$A$6, Product_Catalog!$C$2:$C$6, "Unknown")</f>
        <v>Furniture</v>
      </c>
      <c r="J18" s="2">
        <f>_xlfn.XLOOKUP(E18, Product_Catalog!$A$2:$A$6, Product_Catalog!$D$2:$D$6, 0)</f>
        <v>900</v>
      </c>
      <c r="K18" s="2">
        <f>F18 * J18</f>
        <v>3600</v>
      </c>
      <c r="L18" t="str">
        <f>TEXT(B18, "mmm")</f>
        <v>Apr</v>
      </c>
      <c r="M18" t="str">
        <f>IF(K18&gt;=5000, "High Value", "Standard")</f>
        <v>Standard</v>
      </c>
    </row>
    <row r="19" spans="1:13" x14ac:dyDescent="0.3">
      <c r="A19" t="s">
        <v>50</v>
      </c>
      <c r="B19" s="1">
        <v>46134</v>
      </c>
      <c r="C19" t="s">
        <v>33</v>
      </c>
      <c r="D19" t="str">
        <f>PROPER(TRIM(C19))</f>
        <v>East</v>
      </c>
      <c r="E19" t="s">
        <v>15</v>
      </c>
      <c r="F19">
        <v>4</v>
      </c>
      <c r="G19" t="s">
        <v>28</v>
      </c>
      <c r="H19" t="str">
        <f>_xlfn.XLOOKUP(E19, Product_Catalog!$A$2:$A$6, Product_Catalog!$B$2:$B$6, "Unknown")</f>
        <v>Standing Desk Pro</v>
      </c>
      <c r="I19" t="str">
        <f>_xlfn.XLOOKUP(E19, Product_Catalog!$A$2:$A$6, Product_Catalog!$C$2:$C$6, "Unknown")</f>
        <v>Furniture</v>
      </c>
      <c r="J19" s="2">
        <f>_xlfn.XLOOKUP(E19, Product_Catalog!$A$2:$A$6, Product_Catalog!$D$2:$D$6, 0)</f>
        <v>900</v>
      </c>
      <c r="K19" s="2">
        <f>F19 * J19</f>
        <v>3600</v>
      </c>
      <c r="L19" t="str">
        <f>TEXT(B19, "mmm")</f>
        <v>Apr</v>
      </c>
      <c r="M19" t="str">
        <f>IF(K19&gt;=5000, "High Value", "Standard")</f>
        <v>Standard</v>
      </c>
    </row>
    <row r="20" spans="1:13" x14ac:dyDescent="0.3">
      <c r="A20" t="s">
        <v>51</v>
      </c>
      <c r="B20" s="1">
        <v>46164</v>
      </c>
      <c r="C20" t="s">
        <v>33</v>
      </c>
      <c r="D20" t="str">
        <f>PROPER(TRIM(C20))</f>
        <v>East</v>
      </c>
      <c r="E20" t="s">
        <v>15</v>
      </c>
      <c r="F20">
        <v>4</v>
      </c>
      <c r="G20" t="s">
        <v>28</v>
      </c>
      <c r="H20" t="str">
        <f>_xlfn.XLOOKUP(E20, Product_Catalog!$A$2:$A$6, Product_Catalog!$B$2:$B$6, "Unknown")</f>
        <v>Standing Desk Pro</v>
      </c>
      <c r="I20" t="str">
        <f>_xlfn.XLOOKUP(E20, Product_Catalog!$A$2:$A$6, Product_Catalog!$C$2:$C$6, "Unknown")</f>
        <v>Furniture</v>
      </c>
      <c r="J20" s="2">
        <f>_xlfn.XLOOKUP(E20, Product_Catalog!$A$2:$A$6, Product_Catalog!$D$2:$D$6, 0)</f>
        <v>900</v>
      </c>
      <c r="K20" s="2">
        <f>F20 * J20</f>
        <v>3600</v>
      </c>
      <c r="L20" t="str">
        <f>TEXT(B20, "mmm")</f>
        <v>May</v>
      </c>
      <c r="M20" t="str">
        <f>IF(K20&gt;=5000, "High Value", "Standard")</f>
        <v>Standard</v>
      </c>
    </row>
    <row r="21" spans="1:13" x14ac:dyDescent="0.3">
      <c r="A21" t="s">
        <v>52</v>
      </c>
      <c r="B21" s="1">
        <v>46169</v>
      </c>
      <c r="C21" t="s">
        <v>33</v>
      </c>
      <c r="D21" t="str">
        <f>PROPER(TRIM(C21))</f>
        <v>East</v>
      </c>
      <c r="E21" t="s">
        <v>15</v>
      </c>
      <c r="F21">
        <v>4</v>
      </c>
      <c r="G21" t="s">
        <v>28</v>
      </c>
      <c r="H21" t="str">
        <f>_xlfn.XLOOKUP(E21, Product_Catalog!$A$2:$A$6, Product_Catalog!$B$2:$B$6, "Unknown")</f>
        <v>Standing Desk Pro</v>
      </c>
      <c r="I21" t="str">
        <f>_xlfn.XLOOKUP(E21, Product_Catalog!$A$2:$A$6, Product_Catalog!$C$2:$C$6, "Unknown")</f>
        <v>Furniture</v>
      </c>
      <c r="J21" s="2">
        <f>_xlfn.XLOOKUP(E21, Product_Catalog!$A$2:$A$6, Product_Catalog!$D$2:$D$6, 0)</f>
        <v>900</v>
      </c>
      <c r="K21" s="2">
        <f>F21 * J21</f>
        <v>3600</v>
      </c>
      <c r="L21" t="str">
        <f>TEXT(B21, "mmm")</f>
        <v>May</v>
      </c>
      <c r="M21" t="str">
        <f>IF(K21&gt;=5000, "High Value", "Standard")</f>
        <v>Standard</v>
      </c>
    </row>
    <row r="22" spans="1:13" x14ac:dyDescent="0.3">
      <c r="A22" t="s">
        <v>53</v>
      </c>
      <c r="B22" s="1">
        <v>46165</v>
      </c>
      <c r="C22" t="s">
        <v>33</v>
      </c>
      <c r="D22" t="str">
        <f>PROPER(TRIM(C22))</f>
        <v>East</v>
      </c>
      <c r="E22" t="s">
        <v>15</v>
      </c>
      <c r="F22">
        <v>4</v>
      </c>
      <c r="G22" t="s">
        <v>28</v>
      </c>
      <c r="H22" t="str">
        <f>_xlfn.XLOOKUP(E22, Product_Catalog!$A$2:$A$6, Product_Catalog!$B$2:$B$6, "Unknown")</f>
        <v>Standing Desk Pro</v>
      </c>
      <c r="I22" t="str">
        <f>_xlfn.XLOOKUP(E22, Product_Catalog!$A$2:$A$6, Product_Catalog!$C$2:$C$6, "Unknown")</f>
        <v>Furniture</v>
      </c>
      <c r="J22" s="2">
        <f>_xlfn.XLOOKUP(E22, Product_Catalog!$A$2:$A$6, Product_Catalog!$D$2:$D$6, 0)</f>
        <v>900</v>
      </c>
      <c r="K22" s="2">
        <f>F22 * J22</f>
        <v>3600</v>
      </c>
      <c r="L22" t="str">
        <f>TEXT(B22, "mmm")</f>
        <v>May</v>
      </c>
      <c r="M22" t="str">
        <f>IF(K22&gt;=5000, "High Value", "Standard")</f>
        <v>Standard</v>
      </c>
    </row>
    <row r="23" spans="1:13" x14ac:dyDescent="0.3">
      <c r="A23" t="s">
        <v>54</v>
      </c>
      <c r="B23" s="1">
        <v>46066</v>
      </c>
      <c r="C23" t="s">
        <v>33</v>
      </c>
      <c r="D23" t="str">
        <f>PROPER(TRIM(C23))</f>
        <v>East</v>
      </c>
      <c r="E23" t="s">
        <v>15</v>
      </c>
      <c r="F23">
        <v>4</v>
      </c>
      <c r="G23" t="s">
        <v>28</v>
      </c>
      <c r="H23" t="str">
        <f>_xlfn.XLOOKUP(E23, Product_Catalog!$A$2:$A$6, Product_Catalog!$B$2:$B$6, "Unknown")</f>
        <v>Standing Desk Pro</v>
      </c>
      <c r="I23" t="str">
        <f>_xlfn.XLOOKUP(E23, Product_Catalog!$A$2:$A$6, Product_Catalog!$C$2:$C$6, "Unknown")</f>
        <v>Furniture</v>
      </c>
      <c r="J23" s="2">
        <f>_xlfn.XLOOKUP(E23, Product_Catalog!$A$2:$A$6, Product_Catalog!$D$2:$D$6, 0)</f>
        <v>900</v>
      </c>
      <c r="K23" s="2">
        <f>F23 * J23</f>
        <v>3600</v>
      </c>
      <c r="L23" t="str">
        <f>TEXT(B23, "mmm")</f>
        <v>Feb</v>
      </c>
      <c r="M23" t="str">
        <f>IF(K23&gt;=5000, "High Value", "Standard")</f>
        <v>Standard</v>
      </c>
    </row>
    <row r="24" spans="1:13" x14ac:dyDescent="0.3">
      <c r="A24" t="s">
        <v>55</v>
      </c>
      <c r="B24" s="1">
        <v>46034</v>
      </c>
      <c r="C24" t="s">
        <v>33</v>
      </c>
      <c r="D24" t="str">
        <f>PROPER(TRIM(C24))</f>
        <v>East</v>
      </c>
      <c r="E24" t="s">
        <v>15</v>
      </c>
      <c r="F24">
        <v>4</v>
      </c>
      <c r="G24" t="s">
        <v>28</v>
      </c>
      <c r="H24" t="str">
        <f>_xlfn.XLOOKUP(E24, Product_Catalog!$A$2:$A$6, Product_Catalog!$B$2:$B$6, "Unknown")</f>
        <v>Standing Desk Pro</v>
      </c>
      <c r="I24" t="str">
        <f>_xlfn.XLOOKUP(E24, Product_Catalog!$A$2:$A$6, Product_Catalog!$C$2:$C$6, "Unknown")</f>
        <v>Furniture</v>
      </c>
      <c r="J24" s="2">
        <f>_xlfn.XLOOKUP(E24, Product_Catalog!$A$2:$A$6, Product_Catalog!$D$2:$D$6, 0)</f>
        <v>900</v>
      </c>
      <c r="K24" s="2">
        <f>F24 * J24</f>
        <v>3600</v>
      </c>
      <c r="L24" t="str">
        <f>TEXT(B24, "mmm")</f>
        <v>Jan</v>
      </c>
      <c r="M24" t="str">
        <f>IF(K24&gt;=5000, "High Value", "Standard")</f>
        <v>Standard</v>
      </c>
    </row>
    <row r="25" spans="1:13" x14ac:dyDescent="0.3">
      <c r="A25" t="s">
        <v>56</v>
      </c>
      <c r="B25" s="1">
        <v>46119</v>
      </c>
      <c r="C25" t="s">
        <v>33</v>
      </c>
      <c r="D25" t="str">
        <f>PROPER(TRIM(C25))</f>
        <v>East</v>
      </c>
      <c r="E25" t="s">
        <v>15</v>
      </c>
      <c r="F25">
        <v>4</v>
      </c>
      <c r="G25" t="s">
        <v>28</v>
      </c>
      <c r="H25" t="str">
        <f>_xlfn.XLOOKUP(E25, Product_Catalog!$A$2:$A$6, Product_Catalog!$B$2:$B$6, "Unknown")</f>
        <v>Standing Desk Pro</v>
      </c>
      <c r="I25" t="str">
        <f>_xlfn.XLOOKUP(E25, Product_Catalog!$A$2:$A$6, Product_Catalog!$C$2:$C$6, "Unknown")</f>
        <v>Furniture</v>
      </c>
      <c r="J25" s="2">
        <f>_xlfn.XLOOKUP(E25, Product_Catalog!$A$2:$A$6, Product_Catalog!$D$2:$D$6, 0)</f>
        <v>900</v>
      </c>
      <c r="K25" s="2">
        <f>F25 * J25</f>
        <v>3600</v>
      </c>
      <c r="L25" t="str">
        <f>TEXT(B25, "mmm")</f>
        <v>Apr</v>
      </c>
      <c r="M25" t="str">
        <f>IF(K25&gt;=5000, "High Value", "Standard")</f>
        <v>Standard</v>
      </c>
    </row>
    <row r="26" spans="1:13" x14ac:dyDescent="0.3">
      <c r="A26" t="s">
        <v>57</v>
      </c>
      <c r="B26" s="1">
        <v>46126</v>
      </c>
      <c r="C26" t="s">
        <v>33</v>
      </c>
      <c r="D26" t="str">
        <f>PROPER(TRIM(C26))</f>
        <v>East</v>
      </c>
      <c r="E26" t="s">
        <v>15</v>
      </c>
      <c r="F26">
        <v>4</v>
      </c>
      <c r="G26" t="s">
        <v>28</v>
      </c>
      <c r="H26" t="str">
        <f>_xlfn.XLOOKUP(E26, Product_Catalog!$A$2:$A$6, Product_Catalog!$B$2:$B$6, "Unknown")</f>
        <v>Standing Desk Pro</v>
      </c>
      <c r="I26" t="str">
        <f>_xlfn.XLOOKUP(E26, Product_Catalog!$A$2:$A$6, Product_Catalog!$C$2:$C$6, "Unknown")</f>
        <v>Furniture</v>
      </c>
      <c r="J26" s="2">
        <f>_xlfn.XLOOKUP(E26, Product_Catalog!$A$2:$A$6, Product_Catalog!$D$2:$D$6, 0)</f>
        <v>900</v>
      </c>
      <c r="K26" s="2">
        <f>F26 * J26</f>
        <v>3600</v>
      </c>
      <c r="L26" t="str">
        <f>TEXT(B26, "mmm")</f>
        <v>Apr</v>
      </c>
      <c r="M26" t="str">
        <f>IF(K26&gt;=5000, "High Value", "Standard")</f>
        <v>Standard</v>
      </c>
    </row>
    <row r="27" spans="1:13" x14ac:dyDescent="0.3">
      <c r="A27" t="s">
        <v>58</v>
      </c>
      <c r="B27" s="1">
        <v>46150</v>
      </c>
      <c r="C27" t="s">
        <v>35</v>
      </c>
      <c r="D27" t="str">
        <f>PROPER(TRIM(C27))</f>
        <v>West</v>
      </c>
      <c r="E27" t="s">
        <v>12</v>
      </c>
      <c r="F27">
        <v>4</v>
      </c>
      <c r="G27" t="s">
        <v>37</v>
      </c>
      <c r="H27" t="str">
        <f>_xlfn.XLOOKUP(E27, Product_Catalog!$A$2:$A$6, Product_Catalog!$B$2:$B$6, "Unknown")</f>
        <v>Apex Ergonomic Chair</v>
      </c>
      <c r="I27" t="str">
        <f>_xlfn.XLOOKUP(E27, Product_Catalog!$A$2:$A$6, Product_Catalog!$C$2:$C$6, "Unknown")</f>
        <v>Furniture</v>
      </c>
      <c r="J27" s="2">
        <f>_xlfn.XLOOKUP(E27, Product_Catalog!$A$2:$A$6, Product_Catalog!$D$2:$D$6, 0)</f>
        <v>250</v>
      </c>
      <c r="K27" s="2">
        <f>F27 * J27</f>
        <v>1000</v>
      </c>
      <c r="L27" t="str">
        <f>TEXT(B27, "mmm")</f>
        <v>May</v>
      </c>
      <c r="M27" t="str">
        <f>IF(K27&gt;=5000, "High Value", "Standard")</f>
        <v>Standard</v>
      </c>
    </row>
    <row r="28" spans="1:13" x14ac:dyDescent="0.3">
      <c r="A28" t="s">
        <v>59</v>
      </c>
      <c r="B28" s="1">
        <v>46126</v>
      </c>
      <c r="C28" t="s">
        <v>35</v>
      </c>
      <c r="D28" t="str">
        <f>PROPER(TRIM(C28))</f>
        <v>West</v>
      </c>
      <c r="E28" t="s">
        <v>12</v>
      </c>
      <c r="F28">
        <v>4</v>
      </c>
      <c r="G28" t="s">
        <v>37</v>
      </c>
      <c r="H28" t="str">
        <f>_xlfn.XLOOKUP(E28, Product_Catalog!$A$2:$A$6, Product_Catalog!$B$2:$B$6, "Unknown")</f>
        <v>Apex Ergonomic Chair</v>
      </c>
      <c r="I28" t="str">
        <f>_xlfn.XLOOKUP(E28, Product_Catalog!$A$2:$A$6, Product_Catalog!$C$2:$C$6, "Unknown")</f>
        <v>Furniture</v>
      </c>
      <c r="J28" s="2">
        <f>_xlfn.XLOOKUP(E28, Product_Catalog!$A$2:$A$6, Product_Catalog!$D$2:$D$6, 0)</f>
        <v>250</v>
      </c>
      <c r="K28" s="2">
        <f>F28 * J28</f>
        <v>1000</v>
      </c>
      <c r="L28" t="str">
        <f>TEXT(B28, "mmm")</f>
        <v>Apr</v>
      </c>
      <c r="M28" t="str">
        <f>IF(K28&gt;=5000, "High Value", "Standard")</f>
        <v>Standard</v>
      </c>
    </row>
    <row r="29" spans="1:13" x14ac:dyDescent="0.3">
      <c r="A29" t="s">
        <v>60</v>
      </c>
      <c r="B29" s="1">
        <v>46026</v>
      </c>
      <c r="C29" t="s">
        <v>35</v>
      </c>
      <c r="D29" t="str">
        <f>PROPER(TRIM(C29))</f>
        <v>West</v>
      </c>
      <c r="E29" t="s">
        <v>12</v>
      </c>
      <c r="F29">
        <v>4</v>
      </c>
      <c r="G29" t="s">
        <v>37</v>
      </c>
      <c r="H29" t="str">
        <f>_xlfn.XLOOKUP(E29, Product_Catalog!$A$2:$A$6, Product_Catalog!$B$2:$B$6, "Unknown")</f>
        <v>Apex Ergonomic Chair</v>
      </c>
      <c r="I29" t="str">
        <f>_xlfn.XLOOKUP(E29, Product_Catalog!$A$2:$A$6, Product_Catalog!$C$2:$C$6, "Unknown")</f>
        <v>Furniture</v>
      </c>
      <c r="J29" s="2">
        <f>_xlfn.XLOOKUP(E29, Product_Catalog!$A$2:$A$6, Product_Catalog!$D$2:$D$6, 0)</f>
        <v>250</v>
      </c>
      <c r="K29" s="2">
        <f>F29 * J29</f>
        <v>1000</v>
      </c>
      <c r="L29" t="str">
        <f>TEXT(B29, "mmm")</f>
        <v>Jan</v>
      </c>
      <c r="M29" t="str">
        <f>IF(K29&gt;=5000, "High Value", "Standard")</f>
        <v>Standard</v>
      </c>
    </row>
    <row r="30" spans="1:13" x14ac:dyDescent="0.3">
      <c r="A30" t="s">
        <v>61</v>
      </c>
      <c r="B30" s="1">
        <v>46103</v>
      </c>
      <c r="C30" t="s">
        <v>35</v>
      </c>
      <c r="D30" t="str">
        <f>PROPER(TRIM(C30))</f>
        <v>West</v>
      </c>
      <c r="E30" t="s">
        <v>12</v>
      </c>
      <c r="F30">
        <v>4</v>
      </c>
      <c r="G30" t="s">
        <v>37</v>
      </c>
      <c r="H30" t="str">
        <f>_xlfn.XLOOKUP(E30, Product_Catalog!$A$2:$A$6, Product_Catalog!$B$2:$B$6, "Unknown")</f>
        <v>Apex Ergonomic Chair</v>
      </c>
      <c r="I30" t="str">
        <f>_xlfn.XLOOKUP(E30, Product_Catalog!$A$2:$A$6, Product_Catalog!$C$2:$C$6, "Unknown")</f>
        <v>Furniture</v>
      </c>
      <c r="J30" s="2">
        <f>_xlfn.XLOOKUP(E30, Product_Catalog!$A$2:$A$6, Product_Catalog!$D$2:$D$6, 0)</f>
        <v>250</v>
      </c>
      <c r="K30" s="2">
        <f>F30 * J30</f>
        <v>1000</v>
      </c>
      <c r="L30" t="str">
        <f>TEXT(B30, "mmm")</f>
        <v>Mar</v>
      </c>
      <c r="M30" t="str">
        <f>IF(K30&gt;=5000, "High Value", "Standard")</f>
        <v>Standard</v>
      </c>
    </row>
    <row r="31" spans="1:13" x14ac:dyDescent="0.3">
      <c r="A31" t="s">
        <v>62</v>
      </c>
      <c r="B31" s="1">
        <v>46149</v>
      </c>
      <c r="C31" t="s">
        <v>35</v>
      </c>
      <c r="D31" t="str">
        <f>PROPER(TRIM(C31))</f>
        <v>West</v>
      </c>
      <c r="E31" t="s">
        <v>12</v>
      </c>
      <c r="F31">
        <v>4</v>
      </c>
      <c r="G31" t="s">
        <v>37</v>
      </c>
      <c r="H31" t="str">
        <f>_xlfn.XLOOKUP(E31, Product_Catalog!$A$2:$A$6, Product_Catalog!$B$2:$B$6, "Unknown")</f>
        <v>Apex Ergonomic Chair</v>
      </c>
      <c r="I31" t="str">
        <f>_xlfn.XLOOKUP(E31, Product_Catalog!$A$2:$A$6, Product_Catalog!$C$2:$C$6, "Unknown")</f>
        <v>Furniture</v>
      </c>
      <c r="J31" s="2">
        <f>_xlfn.XLOOKUP(E31, Product_Catalog!$A$2:$A$6, Product_Catalog!$D$2:$D$6, 0)</f>
        <v>250</v>
      </c>
      <c r="K31" s="2">
        <f>F31 * J31</f>
        <v>1000</v>
      </c>
      <c r="L31" t="str">
        <f>TEXT(B31, "mmm")</f>
        <v>May</v>
      </c>
      <c r="M31" t="str">
        <f>IF(K31&gt;=5000, "High Value", "Standard")</f>
        <v>Standard</v>
      </c>
    </row>
    <row r="32" spans="1:13" x14ac:dyDescent="0.3">
      <c r="A32" t="s">
        <v>63</v>
      </c>
      <c r="B32" s="1">
        <v>46031</v>
      </c>
      <c r="C32" t="s">
        <v>35</v>
      </c>
      <c r="D32" t="str">
        <f>PROPER(TRIM(C32))</f>
        <v>West</v>
      </c>
      <c r="E32" t="s">
        <v>12</v>
      </c>
      <c r="F32">
        <v>4</v>
      </c>
      <c r="G32" t="s">
        <v>37</v>
      </c>
      <c r="H32" t="str">
        <f>_xlfn.XLOOKUP(E32, Product_Catalog!$A$2:$A$6, Product_Catalog!$B$2:$B$6, "Unknown")</f>
        <v>Apex Ergonomic Chair</v>
      </c>
      <c r="I32" t="str">
        <f>_xlfn.XLOOKUP(E32, Product_Catalog!$A$2:$A$6, Product_Catalog!$C$2:$C$6, "Unknown")</f>
        <v>Furniture</v>
      </c>
      <c r="J32" s="2">
        <f>_xlfn.XLOOKUP(E32, Product_Catalog!$A$2:$A$6, Product_Catalog!$D$2:$D$6, 0)</f>
        <v>250</v>
      </c>
      <c r="K32" s="2">
        <f>F32 * J32</f>
        <v>1000</v>
      </c>
      <c r="L32" t="str">
        <f>TEXT(B32, "mmm")</f>
        <v>Jan</v>
      </c>
      <c r="M32" t="str">
        <f>IF(K32&gt;=5000, "High Value", "Standard")</f>
        <v>Standard</v>
      </c>
    </row>
    <row r="33" spans="1:13" x14ac:dyDescent="0.3">
      <c r="A33" t="s">
        <v>64</v>
      </c>
      <c r="B33" s="1">
        <v>46026</v>
      </c>
      <c r="C33" t="s">
        <v>35</v>
      </c>
      <c r="D33" t="str">
        <f>PROPER(TRIM(C33))</f>
        <v>West</v>
      </c>
      <c r="E33" t="s">
        <v>12</v>
      </c>
      <c r="F33">
        <v>4</v>
      </c>
      <c r="G33" t="s">
        <v>37</v>
      </c>
      <c r="H33" t="str">
        <f>_xlfn.XLOOKUP(E33, Product_Catalog!$A$2:$A$6, Product_Catalog!$B$2:$B$6, "Unknown")</f>
        <v>Apex Ergonomic Chair</v>
      </c>
      <c r="I33" t="str">
        <f>_xlfn.XLOOKUP(E33, Product_Catalog!$A$2:$A$6, Product_Catalog!$C$2:$C$6, "Unknown")</f>
        <v>Furniture</v>
      </c>
      <c r="J33" s="2">
        <f>_xlfn.XLOOKUP(E33, Product_Catalog!$A$2:$A$6, Product_Catalog!$D$2:$D$6, 0)</f>
        <v>250</v>
      </c>
      <c r="K33" s="2">
        <f>F33 * J33</f>
        <v>1000</v>
      </c>
      <c r="L33" t="str">
        <f>TEXT(B33, "mmm")</f>
        <v>Jan</v>
      </c>
      <c r="M33" t="str">
        <f>IF(K33&gt;=5000, "High Value", "Standard")</f>
        <v>Standard</v>
      </c>
    </row>
    <row r="34" spans="1:13" x14ac:dyDescent="0.3">
      <c r="A34" t="s">
        <v>65</v>
      </c>
      <c r="B34" s="1">
        <v>46091</v>
      </c>
      <c r="C34" t="s">
        <v>35</v>
      </c>
      <c r="D34" t="str">
        <f>PROPER(TRIM(C34))</f>
        <v>West</v>
      </c>
      <c r="E34" t="s">
        <v>12</v>
      </c>
      <c r="F34">
        <v>6</v>
      </c>
      <c r="G34" t="s">
        <v>37</v>
      </c>
      <c r="H34" t="str">
        <f>_xlfn.XLOOKUP(E34, Product_Catalog!$A$2:$A$6, Product_Catalog!$B$2:$B$6, "Unknown")</f>
        <v>Apex Ergonomic Chair</v>
      </c>
      <c r="I34" t="str">
        <f>_xlfn.XLOOKUP(E34, Product_Catalog!$A$2:$A$6, Product_Catalog!$C$2:$C$6, "Unknown")</f>
        <v>Furniture</v>
      </c>
      <c r="J34" s="2">
        <f>_xlfn.XLOOKUP(E34, Product_Catalog!$A$2:$A$6, Product_Catalog!$D$2:$D$6, 0)</f>
        <v>250</v>
      </c>
      <c r="K34" s="2">
        <f>F34 * J34</f>
        <v>1500</v>
      </c>
      <c r="L34" t="str">
        <f>TEXT(B34, "mmm")</f>
        <v>Mar</v>
      </c>
      <c r="M34" t="str">
        <f>IF(K34&gt;=5000, "High Value", "Standard")</f>
        <v>Standard</v>
      </c>
    </row>
    <row r="35" spans="1:13" x14ac:dyDescent="0.3">
      <c r="A35" t="s">
        <v>66</v>
      </c>
      <c r="B35" s="1">
        <v>46039</v>
      </c>
      <c r="C35" t="s">
        <v>33</v>
      </c>
      <c r="D35" t="str">
        <f>PROPER(TRIM(C35))</f>
        <v>East</v>
      </c>
      <c r="E35" t="s">
        <v>4</v>
      </c>
      <c r="F35">
        <v>1</v>
      </c>
      <c r="G35" t="s">
        <v>39</v>
      </c>
      <c r="H35" t="str">
        <f>_xlfn.XLOOKUP(E35, Product_Catalog!$A$2:$A$6, Product_Catalog!$B$2:$B$6, "Unknown")</f>
        <v>Lumina Desk Lamp</v>
      </c>
      <c r="I35" t="str">
        <f>_xlfn.XLOOKUP(E35, Product_Catalog!$A$2:$A$6, Product_Catalog!$C$2:$C$6, "Unknown")</f>
        <v>Lighting</v>
      </c>
      <c r="J35" s="2">
        <f>_xlfn.XLOOKUP(E35, Product_Catalog!$A$2:$A$6, Product_Catalog!$D$2:$D$6, 0)</f>
        <v>45</v>
      </c>
      <c r="K35" s="2">
        <f>F35 * J35</f>
        <v>45</v>
      </c>
      <c r="L35" t="str">
        <f>TEXT(B35, "mmm")</f>
        <v>Jan</v>
      </c>
      <c r="M35" t="str">
        <f>IF(K35&gt;=5000, "High Value", "Standard")</f>
        <v>Standard</v>
      </c>
    </row>
    <row r="36" spans="1:13" x14ac:dyDescent="0.3">
      <c r="A36" t="s">
        <v>67</v>
      </c>
      <c r="B36" s="1">
        <v>46132</v>
      </c>
      <c r="C36" t="s">
        <v>35</v>
      </c>
      <c r="D36" t="str">
        <f>PROPER(TRIM(C36))</f>
        <v>West</v>
      </c>
      <c r="E36" t="s">
        <v>4</v>
      </c>
      <c r="F36">
        <v>1</v>
      </c>
      <c r="G36" t="s">
        <v>39</v>
      </c>
      <c r="H36" t="str">
        <f>_xlfn.XLOOKUP(E36, Product_Catalog!$A$2:$A$6, Product_Catalog!$B$2:$B$6, "Unknown")</f>
        <v>Lumina Desk Lamp</v>
      </c>
      <c r="I36" t="str">
        <f>_xlfn.XLOOKUP(E36, Product_Catalog!$A$2:$A$6, Product_Catalog!$C$2:$C$6, "Unknown")</f>
        <v>Lighting</v>
      </c>
      <c r="J36" s="2">
        <f>_xlfn.XLOOKUP(E36, Product_Catalog!$A$2:$A$6, Product_Catalog!$D$2:$D$6, 0)</f>
        <v>45</v>
      </c>
      <c r="K36" s="2">
        <f>F36 * J36</f>
        <v>45</v>
      </c>
      <c r="L36" t="str">
        <f>TEXT(B36, "mmm")</f>
        <v>Apr</v>
      </c>
      <c r="M36" t="str">
        <f>IF(K36&gt;=5000, "High Value", "Standard")</f>
        <v>Standard</v>
      </c>
    </row>
  </sheetData>
  <conditionalFormatting sqref="K2:K36">
    <cfRule type="cellIs" dxfId="0" priority="1" stopIfTrue="1" operator="greaterThan">
      <formula>4999</formula>
    </cfRule>
  </conditionalFormatting>
  <dataValidations count="1">
    <dataValidation type="list" allowBlank="1" showInputMessage="1" showErrorMessage="1" sqref="G2:G36" xr:uid="{D2688995-8817-43FE-816A-AC97855B1200}">
      <formula1>"Corporate, Consumer, Small Business"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Pivot_Analysis</vt:lpstr>
      <vt:lpstr>Dashboard</vt:lpstr>
      <vt:lpstr>Product_Catalog</vt:lpstr>
      <vt:lpstr>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umamalleswararao.singamsetty@gmail.com</dc:creator>
  <cp:lastModifiedBy>umamalleswararao.singamsetty@gmail.com</cp:lastModifiedBy>
  <dcterms:created xsi:type="dcterms:W3CDTF">2026-07-28T14:30:43Z</dcterms:created>
  <dcterms:modified xsi:type="dcterms:W3CDTF">2026-07-28T14:30:45Z</dcterms:modified>
</cp:coreProperties>
</file>